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PRESUPUESTO" sheetId="1" state="visible" r:id="rId1"/>
    <sheet xmlns:r="http://schemas.openxmlformats.org/officeDocument/2006/relationships" name="COSTE" sheetId="2" state="visible" r:id="rId2"/>
    <sheet xmlns:r="http://schemas.openxmlformats.org/officeDocument/2006/relationships" name="COMPARATIVA" sheetId="3" state="visible" r:id="rId3"/>
    <sheet xmlns:r="http://schemas.openxmlformats.org/officeDocument/2006/relationships" name="CALCULADORA " sheetId="4" state="visible" r:id="rId4"/>
    <sheet xmlns:r="http://schemas.openxmlformats.org/officeDocument/2006/relationships" name="README_IMPORT" sheetId="5" state="visible" r:id="rId5"/>
    <sheet xmlns:r="http://schemas.openxmlformats.org/officeDocument/2006/relationships" name="CATALOGO_IMPORT" sheetId="6" state="visible" r:id="rId6"/>
    <sheet xmlns:r="http://schemas.openxmlformats.org/officeDocument/2006/relationships" name="COSTE_IMPORT" sheetId="7" state="visible" r:id="rId7"/>
    <sheet xmlns:r="http://schemas.openxmlformats.org/officeDocument/2006/relationships" name="COMPARATIVA_IMPORT" sheetId="8" state="visible" r:id="rId8"/>
    <sheet xmlns:r="http://schemas.openxmlformats.org/officeDocument/2006/relationships" name="CALCULADORA_FLAT" sheetId="9" state="visible" r:id="rId9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33">
    <font>
      <name val="Aptos Narrow"/>
      <family val="2"/>
      <color theme="1"/>
      <sz val="11"/>
      <scheme val="minor"/>
    </font>
    <font>
      <name val="Aptos Narrow"/>
      <family val="2"/>
      <b val="1"/>
      <color rgb="FFFA7D00"/>
      <sz val="11"/>
      <scheme val="minor"/>
    </font>
    <font>
      <name val="Arial"/>
      <family val="2"/>
      <b val="1"/>
      <color theme="1"/>
      <sz val="10"/>
    </font>
    <font>
      <name val="Aptos Narrow"/>
      <family val="2"/>
      <b val="1"/>
      <color rgb="FFFA7D00"/>
      <sz val="2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color rgb="FFFF0000"/>
      <sz val="10"/>
    </font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i val="1"/>
      <color theme="1"/>
      <sz val="10"/>
    </font>
    <font>
      <name val="Arial"/>
      <family val="2"/>
      <i val="1"/>
      <color rgb="FFFF0000"/>
      <sz val="10"/>
    </font>
    <font>
      <name val="Aptos Narrow"/>
      <family val="2"/>
      <b val="1"/>
      <color theme="1"/>
      <sz val="11"/>
      <scheme val="minor"/>
    </font>
    <font>
      <name val="Arial"/>
      <family val="2"/>
      <b val="1"/>
      <color theme="9"/>
      <sz val="10"/>
    </font>
    <font>
      <name val="Aptos Narrow"/>
      <family val="2"/>
      <b val="1"/>
      <color theme="9"/>
      <sz val="11"/>
      <scheme val="minor"/>
    </font>
    <font>
      <name val="Arial"/>
      <family val="2"/>
      <b val="1"/>
      <color theme="9" tint="-0.249977111117893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Aptos Narrow"/>
      <family val="2"/>
      <color rgb="FF00B0F0"/>
      <sz val="11"/>
      <scheme val="minor"/>
    </font>
    <font>
      <name val="Aptos Narrow"/>
      <family val="2"/>
      <color rgb="FFFFC000"/>
      <sz val="11"/>
      <scheme val="minor"/>
    </font>
    <font>
      <name val="Aptos Narrow"/>
      <family val="2"/>
      <color rgb="FF0070C0"/>
      <sz val="11"/>
      <scheme val="minor"/>
    </font>
    <font>
      <name val="Aptos Narrow"/>
      <family val="2"/>
      <b val="1"/>
      <color theme="1"/>
      <sz val="14"/>
      <scheme val="minor"/>
    </font>
    <font>
      <name val="Arial"/>
      <family val="2"/>
      <b val="1"/>
      <color rgb="FFFF0000"/>
      <sz val="10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b val="1"/>
      <color rgb="FFFF0000"/>
      <sz val="11"/>
    </font>
    <font>
      <name val="Arial"/>
      <family val="2"/>
      <b val="1"/>
      <color theme="1"/>
      <sz val="8"/>
    </font>
    <font>
      <name val="Aptos Narrow"/>
      <family val="2"/>
      <b val="1"/>
      <color theme="1"/>
      <sz val="8"/>
      <scheme val="minor"/>
    </font>
    <font>
      <name val="Arial"/>
      <family val="2"/>
      <b val="1"/>
      <color rgb="FFFFC000"/>
      <sz val="10"/>
    </font>
    <font>
      <name val="Arial"/>
      <family val="2"/>
      <color rgb="FFFFC000"/>
      <sz val="10"/>
    </font>
    <font>
      <name val="Arial"/>
      <family val="2"/>
      <color theme="1"/>
      <sz val="8"/>
    </font>
    <font>
      <name val="Arial"/>
      <family val="2"/>
      <color rgb="FFFFC000"/>
      <sz val="8"/>
    </font>
    <font>
      <b val="1"/>
      <color rgb="00FFFFFF"/>
    </font>
    <font>
      <b val="1"/>
    </font>
  </fonts>
  <fills count="19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bottom style="thin">
        <color rgb="00D9D9D9"/>
      </bottom>
    </border>
  </borders>
  <cellStyleXfs count="4">
    <xf numFmtId="0" fontId="7" fillId="0" borderId="0"/>
    <xf numFmtId="0" fontId="1" fillId="2" borderId="1"/>
    <xf numFmtId="9" fontId="7" fillId="0" borderId="0"/>
    <xf numFmtId="0" fontId="5" fillId="0" borderId="0"/>
  </cellStyleXfs>
  <cellXfs count="208">
    <xf numFmtId="0" fontId="0" fillId="0" borderId="0" pivotButton="0" quotePrefix="0" xfId="0"/>
    <xf numFmtId="0" fontId="4" fillId="5" borderId="2" applyAlignment="1" pivotButton="0" quotePrefix="0" xfId="0">
      <alignment horizontal="left"/>
    </xf>
    <xf numFmtId="0" fontId="5" fillId="5" borderId="2" pivotButton="0" quotePrefix="0" xfId="0"/>
    <xf numFmtId="2" fontId="5" fillId="0" borderId="2" pivotButton="0" quotePrefix="0" xfId="0"/>
    <xf numFmtId="0" fontId="6" fillId="0" borderId="2" pivotButton="0" quotePrefix="0" xfId="0"/>
    <xf numFmtId="2" fontId="5" fillId="5" borderId="2" pivotButton="0" quotePrefix="0" xfId="0"/>
    <xf numFmtId="2" fontId="5" fillId="0" borderId="2" applyAlignment="1" pivotButton="0" quotePrefix="0" xfId="0">
      <alignment horizontal="center"/>
    </xf>
    <xf numFmtId="4" fontId="2" fillId="6" borderId="2" applyAlignment="1" pivotButton="0" quotePrefix="0" xfId="0">
      <alignment horizontal="center"/>
    </xf>
    <xf numFmtId="0" fontId="2" fillId="4" borderId="2" applyAlignment="1" pivotButton="0" quotePrefix="0" xfId="0">
      <alignment horizontal="right"/>
    </xf>
    <xf numFmtId="4" fontId="2" fillId="4" borderId="2" pivotButton="0" quotePrefix="0" xfId="0"/>
    <xf numFmtId="2" fontId="6" fillId="5" borderId="2" pivotButton="0" quotePrefix="0" xfId="0"/>
    <xf numFmtId="22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1">
      <alignment horizontal="center" vertical="center" wrapText="1"/>
    </xf>
    <xf numFmtId="0" fontId="4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3" borderId="2" pivotButton="0" quotePrefix="0" xfId="0"/>
    <xf numFmtId="9" fontId="2" fillId="4" borderId="2" applyAlignment="1" pivotButton="0" quotePrefix="0" xfId="2">
      <alignment horizontal="center"/>
    </xf>
    <xf numFmtId="2" fontId="4" fillId="5" borderId="2" pivotButton="0" quotePrefix="0" xfId="0"/>
    <xf numFmtId="0" fontId="6" fillId="3" borderId="2" pivotButton="0" quotePrefix="0" xfId="0"/>
    <xf numFmtId="0" fontId="4" fillId="5" borderId="2" pivotButton="0" quotePrefix="0" xfId="0"/>
    <xf numFmtId="0" fontId="2" fillId="4" borderId="2" pivotButton="0" quotePrefix="0" xfId="0"/>
    <xf numFmtId="0" fontId="5" fillId="0" borderId="2" applyAlignment="1" pivotButton="0" quotePrefix="0" xfId="3">
      <alignment horizontal="left" vertical="center"/>
    </xf>
    <xf numFmtId="2" fontId="5" fillId="7" borderId="2" pivotButton="0" quotePrefix="0" xfId="0"/>
    <xf numFmtId="2" fontId="5" fillId="8" borderId="2" pivotButton="0" quotePrefix="0" xfId="0"/>
    <xf numFmtId="2" fontId="4" fillId="8" borderId="2" pivotButton="0" quotePrefix="0" xfId="0"/>
    <xf numFmtId="2" fontId="8" fillId="8" borderId="2" pivotButton="0" quotePrefix="0" xfId="0"/>
    <xf numFmtId="22" fontId="2" fillId="0" borderId="2" applyAlignment="1" pivotButton="0" quotePrefix="0" xfId="0">
      <alignment horizontal="right"/>
    </xf>
    <xf numFmtId="0" fontId="3" fillId="0" borderId="2" applyAlignment="1" pivotButton="0" quotePrefix="0" xfId="1">
      <alignment horizontal="center"/>
    </xf>
    <xf numFmtId="0" fontId="10" fillId="3" borderId="2" pivotButton="0" quotePrefix="0" xfId="0"/>
    <xf numFmtId="0" fontId="9" fillId="0" borderId="2" pivotButton="0" quotePrefix="0" xfId="0"/>
    <xf numFmtId="0" fontId="4" fillId="0" borderId="2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vertical="center" wrapText="1"/>
    </xf>
    <xf numFmtId="0" fontId="13" fillId="0" borderId="0" pivotButton="0" quotePrefix="0" xfId="0"/>
    <xf numFmtId="0" fontId="11" fillId="0" borderId="0" pivotButton="0" quotePrefix="0" xfId="0"/>
    <xf numFmtId="4" fontId="14" fillId="6" borderId="2" applyAlignment="1" pivotButton="0" quotePrefix="0" xfId="0">
      <alignment horizontal="center"/>
    </xf>
    <xf numFmtId="9" fontId="5" fillId="5" borderId="2" applyAlignment="1" pivotButton="0" quotePrefix="0" xfId="2">
      <alignment horizontal="center"/>
    </xf>
    <xf numFmtId="2" fontId="5" fillId="6" borderId="2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4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6" borderId="2" applyAlignment="1" pivotButton="0" quotePrefix="0" xfId="0">
      <alignment horizontal="left"/>
    </xf>
    <xf numFmtId="164" fontId="0" fillId="6" borderId="2" applyAlignment="1" pivotButton="0" quotePrefix="0" xfId="0">
      <alignment horizontal="left"/>
    </xf>
    <xf numFmtId="0" fontId="0" fillId="9" borderId="2" applyAlignment="1" pivotButton="0" quotePrefix="0" xfId="0">
      <alignment horizontal="left"/>
    </xf>
    <xf numFmtId="9" fontId="0" fillId="0" borderId="2" applyAlignment="1" pivotButton="0" quotePrefix="0" xfId="0">
      <alignment horizontal="left"/>
    </xf>
    <xf numFmtId="164" fontId="0" fillId="10" borderId="2" applyAlignment="1" pivotButton="0" quotePrefix="0" xfId="0">
      <alignment horizontal="left"/>
    </xf>
    <xf numFmtId="0" fontId="15" fillId="0" borderId="0" applyAlignment="1" pivotButton="0" quotePrefix="0" xfId="0">
      <alignment horizontal="left"/>
    </xf>
    <xf numFmtId="0" fontId="15" fillId="0" borderId="2" applyAlignment="1" pivotButton="0" quotePrefix="0" xfId="0">
      <alignment horizontal="left"/>
    </xf>
    <xf numFmtId="164" fontId="15" fillId="0" borderId="2" applyAlignment="1" pivotButton="0" quotePrefix="0" xfId="0">
      <alignment horizontal="left"/>
    </xf>
    <xf numFmtId="4" fontId="0" fillId="0" borderId="2" applyAlignment="1" pivotButton="0" quotePrefix="0" xfId="0">
      <alignment horizontal="left"/>
    </xf>
    <xf numFmtId="0" fontId="15" fillId="6" borderId="2" applyAlignment="1" pivotButton="0" quotePrefix="0" xfId="0">
      <alignment horizontal="left"/>
    </xf>
    <xf numFmtId="164" fontId="15" fillId="6" borderId="2" applyAlignment="1" pivotButton="0" quotePrefix="0" xfId="0">
      <alignment horizontal="left"/>
    </xf>
    <xf numFmtId="4" fontId="0" fillId="6" borderId="2" applyAlignment="1" pivotButton="0" quotePrefix="0" xfId="0">
      <alignment horizontal="left"/>
    </xf>
    <xf numFmtId="0" fontId="16" fillId="6" borderId="2" applyAlignment="1" pivotButton="0" quotePrefix="0" xfId="0">
      <alignment horizontal="left"/>
    </xf>
    <xf numFmtId="164" fontId="16" fillId="6" borderId="2" applyAlignment="1" pivotButton="0" quotePrefix="0" xfId="0">
      <alignment horizontal="left"/>
    </xf>
    <xf numFmtId="0" fontId="16" fillId="0" borderId="2" applyAlignment="1" pivotButton="0" quotePrefix="0" xfId="0">
      <alignment horizontal="left"/>
    </xf>
    <xf numFmtId="164" fontId="16" fillId="0" borderId="2" applyAlignment="1" pivotButton="0" quotePrefix="0" xfId="0">
      <alignment horizontal="left"/>
    </xf>
    <xf numFmtId="0" fontId="0" fillId="10" borderId="2" applyAlignment="1" pivotButton="0" quotePrefix="0" xfId="0">
      <alignment horizontal="left"/>
    </xf>
    <xf numFmtId="4" fontId="0" fillId="6" borderId="4" applyAlignment="1" pivotButton="0" quotePrefix="0" xfId="0">
      <alignment horizontal="left"/>
    </xf>
    <xf numFmtId="0" fontId="0" fillId="6" borderId="4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164" fontId="16" fillId="10" borderId="2" applyAlignment="1" pivotButton="0" quotePrefix="0" xfId="0">
      <alignment horizontal="left"/>
    </xf>
    <xf numFmtId="164" fontId="0" fillId="9" borderId="2" applyAlignment="1" pivotButton="0" quotePrefix="0" xfId="0">
      <alignment horizontal="left"/>
    </xf>
    <xf numFmtId="164" fontId="2" fillId="6" borderId="2" applyAlignment="1" pivotButton="0" quotePrefix="0" xfId="0">
      <alignment horizontal="center"/>
    </xf>
    <xf numFmtId="4" fontId="2" fillId="6" borderId="2" applyAlignment="1" pivotButton="0" quotePrefix="0" xfId="0">
      <alignment horizontal="center" wrapText="1"/>
    </xf>
    <xf numFmtId="0" fontId="17" fillId="0" borderId="2" applyAlignment="1" pivotButton="0" quotePrefix="0" xfId="0">
      <alignment horizontal="left"/>
    </xf>
    <xf numFmtId="164" fontId="17" fillId="0" borderId="2" applyAlignment="1" pivotButton="0" quotePrefix="0" xfId="0">
      <alignment horizontal="left"/>
    </xf>
    <xf numFmtId="0" fontId="17" fillId="9" borderId="2" applyAlignment="1" pivotButton="0" quotePrefix="0" xfId="0">
      <alignment horizontal="left"/>
    </xf>
    <xf numFmtId="164" fontId="18" fillId="10" borderId="2" applyAlignment="1" pivotButton="0" quotePrefix="0" xfId="0">
      <alignment horizontal="left"/>
    </xf>
    <xf numFmtId="164" fontId="17" fillId="10" borderId="2" applyAlignment="1" pivotButton="0" quotePrefix="0" xfId="0">
      <alignment horizontal="left"/>
    </xf>
    <xf numFmtId="4" fontId="17" fillId="0" borderId="2" applyAlignment="1" pivotButton="0" quotePrefix="0" xfId="0">
      <alignment horizontal="left"/>
    </xf>
    <xf numFmtId="4" fontId="0" fillId="0" borderId="4" applyAlignment="1" pivotButton="0" quotePrefix="0" xfId="0">
      <alignment horizontal="left"/>
    </xf>
    <xf numFmtId="4" fontId="17" fillId="0" borderId="4" applyAlignment="1" pivotButton="0" quotePrefix="0" xfId="0">
      <alignment horizontal="left"/>
    </xf>
    <xf numFmtId="0" fontId="17" fillId="6" borderId="2" applyAlignment="1" pivotButton="0" quotePrefix="0" xfId="0">
      <alignment horizontal="left"/>
    </xf>
    <xf numFmtId="164" fontId="17" fillId="6" borderId="2" applyAlignment="1" pivotButton="0" quotePrefix="0" xfId="0">
      <alignment horizontal="left"/>
    </xf>
    <xf numFmtId="4" fontId="16" fillId="0" borderId="2" applyAlignment="1" pivotButton="0" quotePrefix="0" xfId="0">
      <alignment horizontal="left"/>
    </xf>
    <xf numFmtId="4" fontId="16" fillId="0" borderId="4" applyAlignment="1" pivotButton="0" quotePrefix="0" xfId="0">
      <alignment horizontal="left"/>
    </xf>
    <xf numFmtId="0" fontId="19" fillId="0" borderId="2" applyAlignment="1" pivotButton="0" quotePrefix="0" xfId="0">
      <alignment horizontal="left"/>
    </xf>
    <xf numFmtId="164" fontId="19" fillId="0" borderId="2" applyAlignment="1" pivotButton="0" quotePrefix="0" xfId="0">
      <alignment horizontal="left"/>
    </xf>
    <xf numFmtId="0" fontId="19" fillId="6" borderId="2" applyAlignment="1" pivotButton="0" quotePrefix="0" xfId="0">
      <alignment horizontal="left"/>
    </xf>
    <xf numFmtId="164" fontId="19" fillId="6" borderId="2" applyAlignment="1" pivotButton="0" quotePrefix="0" xfId="0">
      <alignment horizontal="left"/>
    </xf>
    <xf numFmtId="0" fontId="19" fillId="6" borderId="4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2" fontId="0" fillId="0" borderId="2" pivotButton="0" quotePrefix="0" xfId="0"/>
    <xf numFmtId="2" fontId="0" fillId="6" borderId="2" pivotButton="0" quotePrefix="0" xfId="0"/>
    <xf numFmtId="2" fontId="0" fillId="11" borderId="2" pivotButton="0" quotePrefix="0" xfId="0"/>
    <xf numFmtId="0" fontId="11" fillId="0" borderId="2" pivotButton="0" quotePrefix="0" xfId="0"/>
    <xf numFmtId="2" fontId="11" fillId="0" borderId="2" pivotButton="0" quotePrefix="0" xfId="0"/>
    <xf numFmtId="2" fontId="0" fillId="0" borderId="0" pivotButton="0" quotePrefix="0" xfId="0"/>
    <xf numFmtId="2" fontId="0" fillId="0" borderId="7" pivotButton="0" quotePrefix="0" xfId="0"/>
    <xf numFmtId="2" fontId="0" fillId="0" borderId="8" pivotButton="0" quotePrefix="0" xfId="0"/>
    <xf numFmtId="2" fontId="0" fillId="6" borderId="9" pivotButton="0" quotePrefix="0" xfId="0"/>
    <xf numFmtId="2" fontId="0" fillId="0" borderId="9" pivotButton="0" quotePrefix="0" xfId="0"/>
    <xf numFmtId="2" fontId="0" fillId="11" borderId="9" pivotButton="0" quotePrefix="0" xfId="0"/>
    <xf numFmtId="2" fontId="5" fillId="11" borderId="2" pivotButton="0" quotePrefix="0" xfId="0"/>
    <xf numFmtId="0" fontId="5" fillId="11" borderId="2" applyAlignment="1" pivotButton="0" quotePrefix="0" xfId="0">
      <alignment horizontal="center"/>
    </xf>
    <xf numFmtId="2" fontId="5" fillId="11" borderId="2" applyAlignment="1" pivotButton="0" quotePrefix="0" xfId="0">
      <alignment horizontal="center"/>
    </xf>
    <xf numFmtId="9" fontId="5" fillId="11" borderId="2" applyAlignment="1" pivotButton="0" quotePrefix="0" xfId="2">
      <alignment horizontal="center"/>
    </xf>
    <xf numFmtId="0" fontId="0" fillId="0" borderId="0" applyAlignment="1" pivotButton="0" quotePrefix="0" xfId="0">
      <alignment horizontal="center"/>
    </xf>
    <xf numFmtId="0" fontId="4" fillId="11" borderId="2" applyAlignment="1" pivotButton="0" quotePrefix="0" xfId="0">
      <alignment horizontal="center"/>
    </xf>
    <xf numFmtId="2" fontId="5" fillId="13" borderId="2" pivotButton="0" quotePrefix="0" xfId="0"/>
    <xf numFmtId="2" fontId="22" fillId="11" borderId="2" applyAlignment="1" pivotButton="0" quotePrefix="0" xfId="0">
      <alignment horizontal="center"/>
    </xf>
    <xf numFmtId="22" fontId="12" fillId="0" borderId="0" pivotButton="0" quotePrefix="0" xfId="0"/>
    <xf numFmtId="0" fontId="0" fillId="13" borderId="2" applyAlignment="1" pivotButton="0" quotePrefix="0" xfId="0">
      <alignment horizontal="left"/>
    </xf>
    <xf numFmtId="0" fontId="0" fillId="15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12" borderId="2" applyAlignment="1" pivotButton="0" quotePrefix="0" xfId="0">
      <alignment horizontal="center"/>
    </xf>
    <xf numFmtId="164" fontId="0" fillId="13" borderId="2" pivotButton="0" quotePrefix="0" xfId="0"/>
    <xf numFmtId="0" fontId="0" fillId="4" borderId="2" pivotButton="0" quotePrefix="0" xfId="0"/>
    <xf numFmtId="164" fontId="0" fillId="14" borderId="2" pivotButton="0" quotePrefix="0" xfId="0"/>
    <xf numFmtId="0" fontId="0" fillId="13" borderId="2" pivotButton="0" quotePrefix="0" xfId="0"/>
    <xf numFmtId="0" fontId="0" fillId="12" borderId="2" pivotButton="0" quotePrefix="0" xfId="0"/>
    <xf numFmtId="164" fontId="0" fillId="4" borderId="2" pivotButton="0" quotePrefix="0" xfId="0"/>
    <xf numFmtId="164" fontId="0" fillId="12" borderId="2" pivotButton="0" quotePrefix="0" xfId="0"/>
    <xf numFmtId="2" fontId="5" fillId="0" borderId="2" pivotButton="0" quotePrefix="0" xfId="0"/>
    <xf numFmtId="164" fontId="0" fillId="0" borderId="2" applyAlignment="1" pivotButton="0" quotePrefix="0" xfId="0">
      <alignment horizontal="left"/>
    </xf>
    <xf numFmtId="164" fontId="17" fillId="0" borderId="2" applyAlignment="1" pivotButton="0" quotePrefix="0" xfId="0">
      <alignment horizontal="left"/>
    </xf>
    <xf numFmtId="0" fontId="11" fillId="15" borderId="2" applyAlignment="1" pivotButton="0" quotePrefix="0" xfId="0">
      <alignment horizontal="center"/>
    </xf>
    <xf numFmtId="2" fontId="0" fillId="5" borderId="2" pivotButton="0" quotePrefix="0" xfId="0"/>
    <xf numFmtId="164" fontId="0" fillId="5" borderId="2" pivotButton="0" quotePrefix="0" xfId="0"/>
    <xf numFmtId="0" fontId="0" fillId="5" borderId="2" pivotButton="0" quotePrefix="0" xfId="0"/>
    <xf numFmtId="164" fontId="0" fillId="5" borderId="2" pivotButton="0" quotePrefix="0" xfId="0"/>
    <xf numFmtId="164" fontId="15" fillId="5" borderId="2" pivotButton="0" quotePrefix="0" xfId="0"/>
    <xf numFmtId="2" fontId="4" fillId="7" borderId="2" pivotButton="0" quotePrefix="0" xfId="0"/>
    <xf numFmtId="164" fontId="0" fillId="7" borderId="2" pivotButton="0" quotePrefix="0" xfId="0"/>
    <xf numFmtId="4" fontId="2" fillId="7" borderId="2" pivotButton="0" quotePrefix="0" xfId="0"/>
    <xf numFmtId="164" fontId="11" fillId="4" borderId="2" pivotButton="0" quotePrefix="0" xfId="0"/>
    <xf numFmtId="2" fontId="2" fillId="5" borderId="2" pivotButton="0" quotePrefix="0" xfId="0"/>
    <xf numFmtId="0" fontId="15" fillId="0" borderId="0" pivotButton="0" quotePrefix="0" xfId="0"/>
    <xf numFmtId="4" fontId="24" fillId="0" borderId="0" applyAlignment="1" pivotButton="0" quotePrefix="0" xfId="0">
      <alignment horizontal="center"/>
    </xf>
    <xf numFmtId="0" fontId="15" fillId="0" borderId="0" applyAlignment="1" pivotButton="0" quotePrefix="0" xfId="0">
      <alignment vertical="center" wrapText="1"/>
    </xf>
    <xf numFmtId="0" fontId="15" fillId="16" borderId="2" pivotButton="0" quotePrefix="0" xfId="0"/>
    <xf numFmtId="4" fontId="21" fillId="4" borderId="2" pivotButton="0" quotePrefix="0" xfId="0"/>
    <xf numFmtId="2" fontId="6" fillId="7" borderId="2" pivotButton="0" quotePrefix="0" xfId="0"/>
    <xf numFmtId="22" fontId="25" fillId="0" borderId="0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vertical="center" wrapText="1"/>
    </xf>
    <xf numFmtId="2" fontId="23" fillId="11" borderId="2" applyAlignment="1" pivotButton="0" quotePrefix="0" xfId="0">
      <alignment horizontal="center"/>
    </xf>
    <xf numFmtId="2" fontId="25" fillId="5" borderId="2" pivotButton="0" quotePrefix="0" xfId="0"/>
    <xf numFmtId="0" fontId="25" fillId="4" borderId="2" applyAlignment="1" pivotButton="0" quotePrefix="0" xfId="0">
      <alignment horizontal="right"/>
    </xf>
    <xf numFmtId="0" fontId="26" fillId="0" borderId="0" pivotButton="0" quotePrefix="0" xfId="0"/>
    <xf numFmtId="164" fontId="16" fillId="0" borderId="2" applyAlignment="1" pivotButton="0" quotePrefix="0" xfId="0">
      <alignment horizontal="left"/>
    </xf>
    <xf numFmtId="0" fontId="0" fillId="4" borderId="0" pivotButton="0" quotePrefix="0" xfId="0"/>
    <xf numFmtId="4" fontId="21" fillId="7" borderId="2" pivotButton="0" quotePrefix="0" xfId="0"/>
    <xf numFmtId="0" fontId="11" fillId="7" borderId="2" pivotButton="0" quotePrefix="0" xfId="0"/>
    <xf numFmtId="164" fontId="11" fillId="7" borderId="2" pivotButton="0" quotePrefix="0" xfId="0"/>
    <xf numFmtId="0" fontId="0" fillId="7" borderId="2" pivotButton="0" quotePrefix="0" xfId="0"/>
    <xf numFmtId="0" fontId="0" fillId="0" borderId="2" applyAlignment="1" pivotButton="0" quotePrefix="0" xfId="0">
      <alignment horizontal="left"/>
    </xf>
    <xf numFmtId="164" fontId="0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7" fillId="10" borderId="2" applyAlignment="1" pivotButton="0" quotePrefix="0" xfId="0">
      <alignment horizontal="left"/>
    </xf>
    <xf numFmtId="4" fontId="0" fillId="0" borderId="2" applyAlignment="1" pivotButton="0" quotePrefix="0" xfId="0">
      <alignment horizontal="left"/>
    </xf>
    <xf numFmtId="4" fontId="0" fillId="0" borderId="4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4" fontId="17" fillId="10" borderId="2" applyAlignment="1" pivotButton="0" quotePrefix="0" xfId="0">
      <alignment horizontal="left"/>
    </xf>
    <xf numFmtId="0" fontId="17" fillId="0" borderId="2" applyAlignment="1" pivotButton="0" quotePrefix="0" xfId="0">
      <alignment horizontal="left"/>
    </xf>
    <xf numFmtId="0" fontId="0" fillId="13" borderId="2" applyAlignment="1" pivotButton="0" quotePrefix="0" xfId="0">
      <alignment horizontal="center"/>
    </xf>
    <xf numFmtId="2" fontId="27" fillId="5" borderId="2" pivotButton="0" quotePrefix="0" xfId="0"/>
    <xf numFmtId="4" fontId="2" fillId="6" borderId="2" pivotButton="0" quotePrefix="0" xfId="0"/>
    <xf numFmtId="0" fontId="4" fillId="0" borderId="2" applyAlignment="1" pivotButton="0" quotePrefix="0" xfId="0">
      <alignment horizontal="center"/>
    </xf>
    <xf numFmtId="22" fontId="7" fillId="5" borderId="2" applyAlignment="1" pivotButton="0" quotePrefix="0" xfId="1">
      <alignment horizontal="center" vertical="center"/>
    </xf>
    <xf numFmtId="164" fontId="0" fillId="10" borderId="4" applyAlignment="1" pivotButton="0" quotePrefix="0" xfId="0">
      <alignment horizontal="left"/>
    </xf>
    <xf numFmtId="164" fontId="0" fillId="0" borderId="4" applyAlignment="1" pivotButton="0" quotePrefix="0" xfId="0">
      <alignment horizontal="left"/>
    </xf>
    <xf numFmtId="0" fontId="0" fillId="13" borderId="0" pivotButton="0" quotePrefix="0" xfId="0"/>
    <xf numFmtId="2" fontId="0" fillId="13" borderId="2" pivotButton="0" quotePrefix="0" xfId="0"/>
    <xf numFmtId="0" fontId="0" fillId="0" borderId="0" applyAlignment="1" pivotButton="0" quotePrefix="0" xfId="0">
      <alignment horizontal="left"/>
    </xf>
    <xf numFmtId="2" fontId="5" fillId="7" borderId="2" applyAlignment="1" pivotButton="0" quotePrefix="0" xfId="0">
      <alignment horizontal="center"/>
    </xf>
    <xf numFmtId="0" fontId="15" fillId="7" borderId="2" pivotButton="0" quotePrefix="0" xfId="0"/>
    <xf numFmtId="9" fontId="14" fillId="0" borderId="2" applyAlignment="1" pivotButton="0" quotePrefix="0" xfId="2">
      <alignment horizontal="center"/>
    </xf>
    <xf numFmtId="0" fontId="0" fillId="12" borderId="0" pivotButton="0" quotePrefix="0" xfId="0"/>
    <xf numFmtId="2" fontId="4" fillId="13" borderId="2" pivotButton="0" quotePrefix="0" xfId="0"/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4" fontId="2" fillId="6" borderId="4" applyAlignment="1" pivotButton="0" quotePrefix="0" xfId="0">
      <alignment horizontal="center"/>
    </xf>
    <xf numFmtId="4" fontId="2" fillId="6" borderId="5" applyAlignment="1" pivotButton="0" quotePrefix="0" xfId="0">
      <alignment horizontal="center"/>
    </xf>
    <xf numFmtId="0" fontId="4" fillId="5" borderId="4" applyAlignment="1" pivotButton="0" quotePrefix="0" xfId="0">
      <alignment horizontal="center"/>
    </xf>
    <xf numFmtId="0" fontId="4" fillId="5" borderId="5" applyAlignment="1" pivotButton="0" quotePrefix="0" xfId="0">
      <alignment horizontal="center"/>
    </xf>
    <xf numFmtId="4" fontId="2" fillId="6" borderId="6" applyAlignment="1" pivotButton="0" quotePrefix="0" xfId="0">
      <alignment horizontal="center"/>
    </xf>
    <xf numFmtId="0" fontId="20" fillId="0" borderId="4" applyAlignment="1" pivotButton="0" quotePrefix="0" xfId="0">
      <alignment horizontal="center"/>
    </xf>
    <xf numFmtId="0" fontId="20" fillId="0" borderId="6" applyAlignment="1" pivotButton="0" quotePrefix="0" xfId="0">
      <alignment horizontal="center"/>
    </xf>
    <xf numFmtId="0" fontId="20" fillId="0" borderId="5" applyAlignment="1" pivotButton="0" quotePrefix="0" xfId="0">
      <alignment horizontal="center"/>
    </xf>
    <xf numFmtId="2" fontId="20" fillId="0" borderId="2" applyAlignment="1" pivotButton="0" quotePrefix="0" xfId="0">
      <alignment horizontal="center"/>
    </xf>
    <xf numFmtId="2" fontId="28" fillId="5" borderId="2" pivotButton="0" quotePrefix="0" xfId="0"/>
    <xf numFmtId="2" fontId="29" fillId="5" borderId="2" pivotButton="0" quotePrefix="0" xfId="0"/>
    <xf numFmtId="2" fontId="30" fillId="5" borderId="2" pivotButton="0" quotePrefix="0" xfId="0"/>
    <xf numFmtId="2" fontId="25" fillId="0" borderId="0" pivotButton="0" quotePrefix="0" xfId="0"/>
    <xf numFmtId="0" fontId="11" fillId="0" borderId="0" pivotButton="0" quotePrefix="0" xfId="0"/>
    <xf numFmtId="0" fontId="0" fillId="0" borderId="0" pivotButton="0" quotePrefix="0" xfId="0"/>
    <xf numFmtId="2" fontId="29" fillId="0" borderId="0" pivotButton="0" quotePrefix="0" xfId="0"/>
    <xf numFmtId="2" fontId="30" fillId="0" borderId="0" pivotButton="0" quotePrefix="0" xfId="0"/>
    <xf numFmtId="0" fontId="0" fillId="0" borderId="5" pivotButton="0" quotePrefix="0" xfId="0"/>
    <xf numFmtId="0" fontId="4" fillId="5" borderId="2" applyAlignment="1" pivotButton="0" quotePrefix="0" xfId="0">
      <alignment horizontal="center"/>
    </xf>
    <xf numFmtId="0" fontId="0" fillId="0" borderId="3" pivotButton="0" quotePrefix="0" xfId="0"/>
    <xf numFmtId="0" fontId="0" fillId="0" borderId="6" pivotButton="0" quotePrefix="0" xfId="0"/>
    <xf numFmtId="0" fontId="20" fillId="0" borderId="2" applyAlignment="1" pivotButton="0" quotePrefix="0" xfId="0">
      <alignment horizontal="center"/>
    </xf>
    <xf numFmtId="0" fontId="31" fillId="17" borderId="0" applyAlignment="1" pivotButton="0" quotePrefix="0" xfId="0">
      <alignment vertical="top" wrapText="1"/>
    </xf>
    <xf numFmtId="0" fontId="32" fillId="1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2" fillId="18" borderId="11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31" fillId="17" borderId="0" pivotButton="0" quotePrefix="0" xfId="0"/>
    <xf numFmtId="1" fontId="0" fillId="0" borderId="0" pivotButton="0" quotePrefix="0" xfId="0"/>
  </cellXfs>
  <cellStyles count="4">
    <cellStyle name="Normal" xfId="0" builtinId="0"/>
    <cellStyle name="Cálculo" xfId="1" builtinId="22"/>
    <cellStyle name="Porcentaje" xfId="2" builtinId="5"/>
    <cellStyle name="Normal 3" xfId="3"/>
  </cellStyles>
  <dxfs count="48">
    <dxf>
      <font>
        <b val="1"/>
        <strike val="0"/>
      </font>
    </dxf>
    <dxf>
      <font>
        <b val="1"/>
        <strike val="0"/>
      </font>
    </dxf>
    <dxf>
      <font>
        <b val="1"/>
        <strike val="0"/>
      </font>
    </dxf>
    <dxf>
      <font>
        <b val="1"/>
        <strike val="0"/>
      </font>
    </dxf>
    <dxf>
      <font>
        <b val="1"/>
        <strike val="0"/>
      </font>
    </dxf>
    <dxf>
      <font>
        <b val="1"/>
        <strike val="0"/>
      </font>
    </dxf>
    <dxf>
      <font>
        <b val="1"/>
        <strike val="0"/>
      </font>
    </dxf>
    <dxf>
      <font>
        <b val="1"/>
        <strike val="0"/>
      </font>
    </dxf>
    <dxf>
      <font>
        <b val="1"/>
        <strike val="0"/>
      </font>
    </dxf>
    <dxf>
      <font>
        <b val="1"/>
        <strike val="0"/>
      </font>
    </dxf>
    <dxf>
      <font>
        <b val="1"/>
        <strike val="0"/>
      </font>
    </dxf>
    <dxf>
      <font>
        <b val="1"/>
      </font>
    </dxf>
    <dxf>
      <font>
        <b val="1"/>
      </font>
    </dxf>
    <dxf>
      <font>
        <b val="1"/>
        <strike val="0"/>
      </font>
    </dxf>
    <dxf>
      <font>
        <b val="1"/>
        <strike val="0"/>
      </font>
    </dxf>
    <dxf>
      <font>
        <b val="1"/>
        <strike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  <strike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CATALOGO_IMPORT" displayName="CATALOGO_IMPORT" ref="A2:AD121" headerRowCount="1">
  <autoFilter ref="A2:AD121"/>
  <tableColumns count="30">
    <tableColumn id="1" name="source_sheet"/>
    <tableColumn id="2" name="source_row"/>
    <tableColumn id="3" name="section_header_row"/>
    <tableColumn id="4" name="section_title"/>
    <tableColumn id="5" name="family_key"/>
    <tableColumn id="6" name="item_key"/>
    <tableColumn id="7" name="family"/>
    <tableColumn id="8" name="subfamily"/>
    <tableColumn id="9" name="material"/>
    <tableColumn id="10" name="item_name"/>
    <tableColumn id="11" name="comments"/>
    <tableColumn id="12" name="input1_label"/>
    <tableColumn id="13" name="input2_label"/>
    <tableColumn id="14" name="input3_label"/>
    <tableColumn id="15" name="measure_unit"/>
    <tableColumn id="16" name="quantity_label"/>
    <tableColumn id="17" name="price_label"/>
    <tableColumn id="18" name="unit_price_base"/>
    <tableColumn id="19" name="unit_price_raw"/>
    <tableColumn id="20" name="measure_current"/>
    <tableColumn id="21" name="measure_formula"/>
    <tableColumn id="22" name="qty_current"/>
    <tableColumn id="23" name="real_price_current"/>
    <tableColumn id="24" name="real_price_formula"/>
    <tableColumn id="25" name="company_cost_current"/>
    <tableColumn id="26" name="company_cost_formula"/>
    <tableColumn id="27" name="markup_current"/>
    <tableColumn id="28" name="markup_formula"/>
    <tableColumn id="29" name="total_current"/>
    <tableColumn id="30" name="total_formul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STE_IMPORT" displayName="COSTE_IMPORT" ref="A2:X75" headerRowCount="1">
  <autoFilter ref="A2:X75"/>
  <tableColumns count="24">
    <tableColumn id="1" name="source_sheet"/>
    <tableColumn id="2" name="source_row"/>
    <tableColumn id="3" name="item_key"/>
    <tableColumn id="4" name="family"/>
    <tableColumn id="5" name="subfamily_material"/>
    <tableColumn id="6" name="description"/>
    <tableColumn id="7" name="x_mm"/>
    <tableColumn id="8" name="y_mm"/>
    <tableColumn id="9" name="thickness_mm"/>
    <tableColumn id="10" name="price_current"/>
    <tableColumn id="11" name="price_raw"/>
    <tableColumn id="12" name="unit"/>
    <tableColumn id="13" name="provider_current"/>
    <tableColumn id="14" name="provider_raw"/>
    <tableColumn id="15" name="extra_1_value_current"/>
    <tableColumn id="16" name="extra_1_value_raw"/>
    <tableColumn id="17" name="extra_1_label"/>
    <tableColumn id="18" name="extra_2_value_current"/>
    <tableColumn id="19" name="extra_2_value_raw"/>
    <tableColumn id="20" name="extra_2_label"/>
    <tableColumn id="21" name="extra_3_value_current"/>
    <tableColumn id="22" name="extra_3_value_raw"/>
    <tableColumn id="23" name="extra_3_label"/>
    <tableColumn id="24" name="notes_or_extr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MPARATIVA_IMPORT" displayName="COMPARATIVA_IMPORT" ref="A2:X116" headerRowCount="1">
  <autoFilter ref="A2:X116"/>
  <tableColumns count="24">
    <tableColumn id="1" name="source_sheet"/>
    <tableColumn id="2" name="source_row"/>
    <tableColumn id="3" name="item_key"/>
    <tableColumn id="4" name="family"/>
    <tableColumn id="5" name="subfamily_material"/>
    <tableColumn id="6" name="description"/>
    <tableColumn id="7" name="x_mm"/>
    <tableColumn id="8" name="y_mm"/>
    <tableColumn id="9" name="thickness_mm"/>
    <tableColumn id="10" name="price_current"/>
    <tableColumn id="11" name="price_raw"/>
    <tableColumn id="12" name="unit"/>
    <tableColumn id="13" name="provider_current"/>
    <tableColumn id="14" name="provider_raw"/>
    <tableColumn id="15" name="extra_1_value_current"/>
    <tableColumn id="16" name="extra_1_value_raw"/>
    <tableColumn id="17" name="extra_1_label"/>
    <tableColumn id="18" name="extra_2_value_current"/>
    <tableColumn id="19" name="extra_2_value_raw"/>
    <tableColumn id="20" name="extra_2_label"/>
    <tableColumn id="21" name="extra_3_value_current"/>
    <tableColumn id="22" name="extra_3_value_raw"/>
    <tableColumn id="23" name="extra_3_label"/>
    <tableColumn id="24" name="notes_or_extr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LCULADORA_FLAT" displayName="CALCULADORA_FLAT" ref="A2:G8" headerRowCount="1">
  <autoFilter ref="A2:G8"/>
  <tableColumns count="7">
    <tableColumn id="1" name="block"/>
    <tableColumn id="2" name="source_row"/>
    <tableColumn id="3" name="col_a"/>
    <tableColumn id="4" name="col_b"/>
    <tableColumn id="5" name="col_c"/>
    <tableColumn id="6" name="col_d"/>
    <tableColumn id="7" name="col_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9"/>
  <sheetViews>
    <sheetView tabSelected="1" topLeftCell="B1" zoomScale="130" zoomScaleNormal="130" workbookViewId="0">
      <pane ySplit="3" topLeftCell="A130" activePane="bottomLeft" state="frozen"/>
      <selection pane="bottomLeft" activeCell="E164" sqref="E164"/>
    </sheetView>
  </sheetViews>
  <sheetFormatPr baseColWidth="10" defaultRowHeight="14.5"/>
  <cols>
    <col width="12.1796875" bestFit="1" customWidth="1" style="192" min="1" max="1"/>
    <col width="10.6328125" bestFit="1" customWidth="1" style="192" min="2" max="2"/>
    <col width="24.453125" bestFit="1" customWidth="1" style="192" min="3" max="3"/>
    <col width="75.36328125" bestFit="1" customWidth="1" style="192" min="4" max="4"/>
    <col width="44.90625" customWidth="1" style="192" min="5" max="5"/>
    <col width="8.1796875" customWidth="1" style="192" min="6" max="6"/>
    <col width="6.81640625" customWidth="1" style="192" min="7" max="7"/>
    <col width="9.81640625" customWidth="1" style="192" min="8" max="8"/>
    <col width="8.81640625" bestFit="1" customWidth="1" style="192" min="9" max="9"/>
    <col width="12.36328125" customWidth="1" style="192" min="10" max="10"/>
    <col width="8.1796875" customWidth="1" style="35" min="11" max="11"/>
    <col width="9.54296875" bestFit="1" customWidth="1" style="145" min="12" max="12"/>
    <col width="10.81640625" customWidth="1" style="192" min="13" max="13"/>
    <col width="9.36328125" customWidth="1" style="192" min="14" max="14"/>
    <col width="11.453125" bestFit="1" customWidth="1" style="191" min="15" max="15"/>
    <col width="10.36328125" customWidth="1" style="192" min="16" max="16"/>
    <col width="9.90625" bestFit="1" customWidth="1" style="192" min="17" max="17"/>
    <col width="20.08984375" bestFit="1" customWidth="1" style="133" min="18" max="18"/>
    <col width="11" bestFit="1" customWidth="1" style="192" min="19" max="19"/>
    <col width="19" bestFit="1" customWidth="1" style="192" min="20" max="20"/>
    <col width="19.1796875" bestFit="1" customWidth="1" style="192" min="21" max="21"/>
    <col width="20.453125" bestFit="1" customWidth="1" style="192" min="22" max="22"/>
    <col width="26.81640625" bestFit="1" customWidth="1" style="192" min="23" max="23"/>
    <col width="21.08984375" bestFit="1" customWidth="1" style="192" min="24" max="24"/>
    <col width="14.1796875" bestFit="1" customWidth="1" style="192" min="25" max="25"/>
    <col width="20.81640625" bestFit="1" customWidth="1" style="192" min="26" max="26"/>
    <col width="20.453125" bestFit="1" customWidth="1" style="192" min="27" max="27"/>
    <col width="21.08984375" bestFit="1" customWidth="1" style="192" min="28" max="28"/>
    <col width="13.6328125" bestFit="1" customWidth="1" style="192" min="29" max="29"/>
    <col width="10.36328125" bestFit="1" customWidth="1" style="192" min="30" max="30"/>
    <col width="20.81640625" bestFit="1" customWidth="1" style="192" min="31" max="31"/>
    <col width="20.453125" bestFit="1" customWidth="1" style="192" min="32" max="32"/>
    <col width="21.08984375" bestFit="1" customWidth="1" style="192" min="33" max="33"/>
    <col width="20.453125" bestFit="1" customWidth="1" style="192" min="34" max="34"/>
    <col width="9.08984375" bestFit="1" customWidth="1" style="192" min="35" max="35"/>
  </cols>
  <sheetData>
    <row r="1" ht="18.75" customHeight="1" s="192">
      <c r="A1" s="177" t="e">
        <v>#VALUE!</v>
      </c>
      <c r="C1" s="7" t="inlineStr">
        <is>
          <t>CODIGO</t>
        </is>
      </c>
      <c r="D1" s="7" t="inlineStr">
        <is>
          <t>PROYECTO</t>
        </is>
      </c>
      <c r="E1" s="7" t="inlineStr">
        <is>
          <t>FECHA DE MODIFICACIÓN:</t>
        </is>
      </c>
      <c r="F1" s="7" t="inlineStr">
        <is>
          <t>M2</t>
        </is>
      </c>
      <c r="G1" s="195" t="n"/>
      <c r="H1" s="163" t="inlineStr">
        <is>
          <t>Ancho</t>
        </is>
      </c>
      <c r="I1" s="163" t="inlineStr">
        <is>
          <t>Fondo</t>
        </is>
      </c>
      <c r="J1" s="163" t="inlineStr">
        <is>
          <t xml:space="preserve">Complejidad </t>
        </is>
      </c>
      <c r="K1" s="107" t="n"/>
      <c r="L1" s="139" t="n"/>
      <c r="M1" s="37" t="inlineStr">
        <is>
          <t>€ Empresa</t>
        </is>
      </c>
      <c r="N1" s="37" t="inlineStr">
        <is>
          <t>Markup</t>
        </is>
      </c>
      <c r="O1" s="37" t="inlineStr">
        <is>
          <t>€+Margen</t>
        </is>
      </c>
      <c r="P1" s="37" t="inlineStr">
        <is>
          <t>Ben.Bruto</t>
        </is>
      </c>
      <c r="Q1" s="37" t="inlineStr">
        <is>
          <t>€/M2</t>
        </is>
      </c>
      <c r="R1" s="134" t="n"/>
    </row>
    <row r="2" ht="21" customHeight="1" s="192">
      <c r="C2" s="28" t="n"/>
      <c r="D2" s="29" t="n"/>
      <c r="E2" s="165">
        <f>NOW()</f>
        <v/>
      </c>
      <c r="F2" s="196">
        <f>H2*I2</f>
        <v/>
      </c>
      <c r="G2" s="195" t="n"/>
      <c r="H2" s="164" t="n"/>
      <c r="I2" s="164" t="n"/>
      <c r="J2" s="164" t="n"/>
      <c r="K2" s="33" t="n"/>
      <c r="L2" s="140" t="n"/>
      <c r="M2" s="37">
        <f>M14+M46+M54+M59+M64+M69+M74+M78+M87+M111+M119+M122+M126+M132+M144+M169</f>
        <v/>
      </c>
      <c r="N2" s="173" t="n">
        <v>1</v>
      </c>
      <c r="O2" s="37">
        <f>O14+O46+O54+O59+O64+O69+O74+O78+O87+O111+O119+O122+O126+O132+O144+O169</f>
        <v/>
      </c>
      <c r="P2" s="37">
        <f>P14+P46+P54+P59+P64+P69+P74+P78+P87+P111+P119+P122+P126+P132+P144+P169</f>
        <v/>
      </c>
      <c r="Q2" s="37">
        <f>IFERROR(O2/F2,0)</f>
        <v/>
      </c>
      <c r="R2" s="134" t="n"/>
    </row>
    <row r="3" ht="14.5" customFormat="1" customHeight="1" s="16">
      <c r="A3" s="197" t="n"/>
      <c r="B3" s="197" t="n"/>
      <c r="C3" s="11" t="n"/>
      <c r="D3" s="12" t="n"/>
      <c r="E3" s="12" t="n"/>
      <c r="F3" s="13" t="n"/>
      <c r="G3" s="13" t="n"/>
      <c r="H3" s="13" t="n"/>
      <c r="I3" s="14" t="n"/>
      <c r="J3" s="15" t="n"/>
      <c r="K3" s="34" t="n"/>
      <c r="L3" s="141" t="n"/>
      <c r="R3" s="135" t="n"/>
    </row>
    <row r="4" customFormat="1" s="176">
      <c r="A4" s="104" t="inlineStr">
        <is>
          <t>FAMILIA</t>
        </is>
      </c>
      <c r="B4" s="104" t="inlineStr">
        <is>
          <t>SUB F.</t>
        </is>
      </c>
      <c r="C4" s="104" t="inlineStr">
        <is>
          <t>MATERIAL</t>
        </is>
      </c>
      <c r="D4" s="100" t="inlineStr">
        <is>
          <t>TARIMA</t>
        </is>
      </c>
      <c r="E4" s="100" t="inlineStr">
        <is>
          <t>COMENTARIOS</t>
        </is>
      </c>
      <c r="F4" s="101" t="inlineStr">
        <is>
          <t xml:space="preserve">Largo </t>
        </is>
      </c>
      <c r="G4" s="101" t="inlineStr">
        <is>
          <t>Ancho</t>
        </is>
      </c>
      <c r="H4" s="101" t="n"/>
      <c r="I4" s="101" t="inlineStr">
        <is>
          <t>m2</t>
        </is>
      </c>
      <c r="J4" s="106" t="inlineStr">
        <is>
          <t>UDS</t>
        </is>
      </c>
      <c r="K4" s="101" t="inlineStr">
        <is>
          <t>€/m2</t>
        </is>
      </c>
      <c r="L4" s="142" t="inlineStr">
        <is>
          <t>€/m2 Real</t>
        </is>
      </c>
      <c r="M4" s="101" t="inlineStr">
        <is>
          <t>€/Empresa</t>
        </is>
      </c>
      <c r="N4" s="102" t="inlineStr">
        <is>
          <t>Markup %</t>
        </is>
      </c>
      <c r="O4" s="101" t="inlineStr">
        <is>
          <t>€ TOTAL</t>
        </is>
      </c>
      <c r="P4" s="101" t="inlineStr">
        <is>
          <t>BEN.EMP</t>
        </is>
      </c>
      <c r="Q4" s="122" t="inlineStr">
        <is>
          <t>COSTE TOT</t>
        </is>
      </c>
      <c r="R4" s="136" t="inlineStr">
        <is>
          <t>Diseño (50m2/4-6h)</t>
        </is>
      </c>
      <c r="S4" s="109" t="inlineStr">
        <is>
          <t xml:space="preserve">COSTE MAT </t>
        </is>
      </c>
      <c r="T4" s="110" t="inlineStr">
        <is>
          <t>Tarima Mala</t>
        </is>
      </c>
      <c r="U4" s="110" t="inlineStr">
        <is>
          <t xml:space="preserve">(35m2/h) Corte </t>
        </is>
      </c>
      <c r="V4" s="110" t="inlineStr">
        <is>
          <t>Merma 20%</t>
        </is>
      </c>
      <c r="W4" s="111" t="inlineStr">
        <is>
          <t>Tarima Buena</t>
        </is>
      </c>
      <c r="X4" s="111" t="inlineStr">
        <is>
          <t>Corte</t>
        </is>
      </c>
      <c r="Y4" s="111" t="inlineStr">
        <is>
          <t>Merma 20 %</t>
        </is>
      </c>
      <c r="Z4" s="110" t="inlineStr">
        <is>
          <t xml:space="preserve"> Rastreles ®</t>
        </is>
      </c>
      <c r="AA4" s="110" t="inlineStr">
        <is>
          <t>(15m2/h) T. Corte</t>
        </is>
      </c>
      <c r="AB4" s="110" t="inlineStr">
        <is>
          <t>(1,6m2/h) T.Montaje</t>
        </is>
      </c>
      <c r="AC4" s="111" t="inlineStr">
        <is>
          <t>Zocalo</t>
        </is>
      </c>
      <c r="AD4" s="111" t="inlineStr">
        <is>
          <t xml:space="preserve">Corte </t>
        </is>
      </c>
      <c r="AE4" s="110" t="inlineStr">
        <is>
          <t>Perfil Alu.</t>
        </is>
      </c>
      <c r="AF4" s="111" t="inlineStr">
        <is>
          <t>Plastico</t>
        </is>
      </c>
      <c r="AG4" s="110" t="inlineStr">
        <is>
          <t>Tornilleria</t>
        </is>
      </c>
      <c r="AH4" s="111" t="inlineStr">
        <is>
          <t>(30m2/h) T. Paletizacion</t>
        </is>
      </c>
      <c r="AI4" s="110" t="inlineStr">
        <is>
          <t>Palets</t>
        </is>
      </c>
    </row>
    <row r="5">
      <c r="A5" s="1" t="inlineStr">
        <is>
          <t>Tarima</t>
        </is>
      </c>
      <c r="B5" s="1" t="inlineStr">
        <is>
          <t>Suelo</t>
        </is>
      </c>
      <c r="C5" s="1" t="inlineStr">
        <is>
          <t>Aglomerado Reciclado</t>
        </is>
      </c>
      <c r="D5" s="21" t="inlineStr">
        <is>
          <t>Tarima con Moqueta</t>
        </is>
      </c>
      <c r="E5" s="32" t="n"/>
      <c r="F5" s="119" t="n">
        <v>0</v>
      </c>
      <c r="G5" s="119" t="n">
        <v>0</v>
      </c>
      <c r="H5" s="105" t="n"/>
      <c r="I5" s="5">
        <f>F5*G5</f>
        <v/>
      </c>
      <c r="J5" s="6" t="n">
        <v>0</v>
      </c>
      <c r="K5" s="5" t="n">
        <v>7.77</v>
      </c>
      <c r="L5" s="188">
        <f>IFERROR(ROUNDUP((Q5/I5)/0.5,0)*0.5,0)</f>
        <v/>
      </c>
      <c r="M5" s="5">
        <f>IF(I5=0,J5*K5,I5*J5*K5)</f>
        <v/>
      </c>
      <c r="N5" s="38">
        <f>$N$14</f>
        <v/>
      </c>
      <c r="O5" s="39">
        <f>SUM(M5*N5)+M5</f>
        <v/>
      </c>
      <c r="P5" s="5">
        <f>SUM(O5-M5)</f>
        <v/>
      </c>
      <c r="Q5" s="19">
        <f>R5+S5</f>
        <v/>
      </c>
      <c r="R5" s="127">
        <f>J5*(MAX(1,ROUNDUP(I5/50,0)*4)*COSTE!$G$3)</f>
        <v/>
      </c>
      <c r="S5" s="126">
        <f>SUM(T5:AU5)</f>
        <v/>
      </c>
      <c r="T5" s="126">
        <f>(I5*COSTE!$G$20)/3</f>
        <v/>
      </c>
      <c r="U5" s="129">
        <f>(I5/35)*COSTE!$G$4</f>
        <v/>
      </c>
      <c r="V5" s="126">
        <f>T5*20%</f>
        <v/>
      </c>
      <c r="W5" s="112" t="n"/>
      <c r="X5" s="112" t="n"/>
      <c r="Y5" s="112" t="n"/>
      <c r="Z5" s="126">
        <f>(((((2*F5)+1)*G5)*0.08)*COSTE!$G$21)/3</f>
        <v/>
      </c>
      <c r="AA5" s="126">
        <f>(((((2*F5)+1)*G5)*0.08)/15)*COSTE!$G$4</f>
        <v/>
      </c>
      <c r="AB5" s="112" t="n"/>
      <c r="AC5" s="126">
        <f>((((F5*2)+(G5*2))*0.1)*2.44)*COSTE!$G$23</f>
        <v/>
      </c>
      <c r="AD5" s="126">
        <f>((((F5*2)+(G5*2))*0.1)*2.44)*COSTE!$J$23</f>
        <v/>
      </c>
      <c r="AE5" s="126">
        <f>((F5*2)+(G5*2))*COSTE!$G$55</f>
        <v/>
      </c>
      <c r="AF5" s="126">
        <f>I5*COSTE!$G$66</f>
        <v/>
      </c>
      <c r="AG5" s="126">
        <f>I5*0.1</f>
        <v/>
      </c>
      <c r="AH5" s="126">
        <f>(I5/30)*COSTE!$G$5</f>
        <v/>
      </c>
      <c r="AI5" s="126">
        <f>ROUNDUP(I5/35,0)*((COSTE!$G$20/3)+(COSTE!$G$45*1)+(COSTE!$G$4/6)+(0.5))</f>
        <v/>
      </c>
    </row>
    <row r="6">
      <c r="A6" s="1" t="inlineStr">
        <is>
          <t>Tarima</t>
        </is>
      </c>
      <c r="B6" s="1" t="inlineStr">
        <is>
          <t>Suelo</t>
        </is>
      </c>
      <c r="C6" s="1" t="inlineStr">
        <is>
          <t>Melamina Reciclado</t>
        </is>
      </c>
      <c r="D6" s="2" t="inlineStr">
        <is>
          <t>Tarima Melamina Reciclada</t>
        </is>
      </c>
      <c r="E6" s="32" t="n"/>
      <c r="F6" s="119" t="n">
        <v>0</v>
      </c>
      <c r="G6" s="119" t="n">
        <v>0</v>
      </c>
      <c r="H6" s="105" t="n"/>
      <c r="I6" s="5">
        <f>F6*G6</f>
        <v/>
      </c>
      <c r="J6" s="6" t="n">
        <v>0</v>
      </c>
      <c r="K6" s="5" t="n">
        <v>22</v>
      </c>
      <c r="L6" s="188">
        <f>IFERROR(ROUNDUP((Q6/I6)/0.5,0)*0.5,0)</f>
        <v/>
      </c>
      <c r="M6" s="5">
        <f>IF(I6=0,J6*K6,I6*J6*K6)</f>
        <v/>
      </c>
      <c r="N6" s="38">
        <f>$N$14</f>
        <v/>
      </c>
      <c r="O6" s="39">
        <f>SUM(M6*N6)+M6</f>
        <v/>
      </c>
      <c r="P6" s="5">
        <f>SUM(O6-M6)</f>
        <v/>
      </c>
      <c r="Q6" s="19">
        <f>R6+S6</f>
        <v/>
      </c>
      <c r="R6" s="127">
        <f>J6*(MAX(1,ROUNDUP(I6/50,0)*6)*COSTE!$G$3)</f>
        <v/>
      </c>
      <c r="S6" s="126">
        <f>SUM(T6:AU6)</f>
        <v/>
      </c>
      <c r="T6" s="126">
        <f>(I6*COSTE!$G$20)/3</f>
        <v/>
      </c>
      <c r="U6" s="129">
        <f>(I6/35)*COSTE!$G$4</f>
        <v/>
      </c>
      <c r="V6" s="126">
        <f>T6*20%</f>
        <v/>
      </c>
      <c r="W6" s="126">
        <f>(I6*COSTE!$G$14)</f>
        <v/>
      </c>
      <c r="X6" s="126">
        <f>I6*COSTE!$J$14</f>
        <v/>
      </c>
      <c r="Y6" s="126">
        <f>W6*20%</f>
        <v/>
      </c>
      <c r="Z6" s="126">
        <f>((((((2*F6)+1)*G6)*0.08)*2)*COSTE!$G$21)/3</f>
        <v/>
      </c>
      <c r="AA6" s="126">
        <f>((((((2*F6)+1)*G6)*0.08)*2)/15)*COSTE!$G$4</f>
        <v/>
      </c>
      <c r="AB6" s="126">
        <f>(((((2*F7)+1)*G7)*0.08)/1.6)*COSTE!$G$4</f>
        <v/>
      </c>
      <c r="AC6" s="126">
        <f>((((F6*2)+(G6*2))*0.1)*2.44)*COSTE!$G$23</f>
        <v/>
      </c>
      <c r="AD6" s="126">
        <f>((((F6*2)+(G6*2))*0.1)*2.44)*COSTE!$J$23</f>
        <v/>
      </c>
      <c r="AE6" s="126">
        <f>((F6*2)+(G6*2))*COSTE!$G$55</f>
        <v/>
      </c>
      <c r="AF6" s="126">
        <f>I6*COSTE!$G$66</f>
        <v/>
      </c>
      <c r="AG6" s="126">
        <f>I6*0.1</f>
        <v/>
      </c>
      <c r="AH6" s="126">
        <f>((I6*2)/30)*COSTE!$G$5</f>
        <v/>
      </c>
      <c r="AI6" s="126">
        <f>ROUNDUP((I6*2)/35,0)*((COSTE!$G$20/3)+(COSTE!$G$45*1)+(COSTE!$G$4/6)+(0.5))</f>
        <v/>
      </c>
    </row>
    <row r="7">
      <c r="A7" s="1" t="inlineStr">
        <is>
          <t>Tarima</t>
        </is>
      </c>
      <c r="B7" s="1" t="inlineStr">
        <is>
          <t>Suelo</t>
        </is>
      </c>
      <c r="C7" s="1" t="inlineStr">
        <is>
          <t>Melamina</t>
        </is>
      </c>
      <c r="D7" s="2" t="inlineStr">
        <is>
          <t>Tarima Melamina Nueva</t>
        </is>
      </c>
      <c r="E7" s="4" t="inlineStr">
        <is>
          <t>*New</t>
        </is>
      </c>
      <c r="F7" s="119" t="n">
        <v>0</v>
      </c>
      <c r="G7" s="119" t="n">
        <v>0</v>
      </c>
      <c r="H7" s="105" t="n"/>
      <c r="I7" s="5">
        <f>F7*G7</f>
        <v/>
      </c>
      <c r="J7" s="6" t="n">
        <v>0</v>
      </c>
      <c r="K7" s="10" t="n">
        <v>30</v>
      </c>
      <c r="L7" s="188">
        <f>IFERROR(ROUNDUP((Q7/I7)/0.5,0)*0.5,0)</f>
        <v/>
      </c>
      <c r="M7" s="5">
        <f>IF(I7=0,J7*K7,I7*J7*K7)</f>
        <v/>
      </c>
      <c r="N7" s="38">
        <f>$N$14</f>
        <v/>
      </c>
      <c r="O7" s="39">
        <f>SUM(M7*N7)+M7</f>
        <v/>
      </c>
      <c r="P7" s="5">
        <f>SUM(O7-M7)</f>
        <v/>
      </c>
      <c r="Q7" s="19">
        <f>R7+S7</f>
        <v/>
      </c>
      <c r="R7" s="127">
        <f>J7*MAX(1,ROUNDUP(I7/50,0)*6)*COSTE!$G$3</f>
        <v/>
      </c>
      <c r="S7" s="126">
        <f>SUM(T7:AU7)</f>
        <v/>
      </c>
      <c r="T7" s="126">
        <f>I7*COSTE!$G$20</f>
        <v/>
      </c>
      <c r="U7" s="126">
        <f>I7*COSTE!$J$20</f>
        <v/>
      </c>
      <c r="V7" s="126">
        <f>T7*20%</f>
        <v/>
      </c>
      <c r="W7" s="126">
        <f>I7*COSTE!$G$14</f>
        <v/>
      </c>
      <c r="X7" s="126">
        <f>I7*COSTE!$J$14</f>
        <v/>
      </c>
      <c r="Y7" s="126">
        <f>W7*20%</f>
        <v/>
      </c>
      <c r="Z7" s="126">
        <f>((((((2*F7)+1)*G7)*0.08)*2)*COSTE!$G$21)/3</f>
        <v/>
      </c>
      <c r="AA7" s="126">
        <f>((((((2*F7)+1)*G7)*0.08)*2)/15)*COSTE!$G$4</f>
        <v/>
      </c>
      <c r="AB7" s="126">
        <f>(((((2*F5)+1)*G5)*0.08)/1.6)*COSTE!$G$4</f>
        <v/>
      </c>
      <c r="AC7" s="126">
        <f>((((F7*2)+(G7*2))*0.1)*2.44)*COSTE!$G$23</f>
        <v/>
      </c>
      <c r="AD7" s="126">
        <f>((((F7*2)+(G7*2))*0.1)*2.44)*COSTE!$J$23</f>
        <v/>
      </c>
      <c r="AE7" s="126">
        <f>((F7*2)+(G7*2))*COSTE!$G$55</f>
        <v/>
      </c>
      <c r="AF7" s="126">
        <f>I7*COSTE!$G$66</f>
        <v/>
      </c>
      <c r="AG7" s="126">
        <f>I7*0.1</f>
        <v/>
      </c>
      <c r="AH7" s="112" t="n"/>
      <c r="AI7" s="112" t="n"/>
    </row>
    <row r="8">
      <c r="A8" s="1" t="inlineStr">
        <is>
          <t>Tarima</t>
        </is>
      </c>
      <c r="B8" s="1" t="inlineStr">
        <is>
          <t>Suelo</t>
        </is>
      </c>
      <c r="C8" s="1" t="inlineStr">
        <is>
          <t>Melamina Especial</t>
        </is>
      </c>
      <c r="D8" s="2" t="inlineStr">
        <is>
          <t>Tarima Melamina Especial</t>
        </is>
      </c>
      <c r="E8" s="32" t="n"/>
      <c r="F8" s="119" t="n">
        <v>0</v>
      </c>
      <c r="G8" s="119" t="n">
        <v>0</v>
      </c>
      <c r="H8" s="105" t="n"/>
      <c r="I8" s="5">
        <f>F8*G8</f>
        <v/>
      </c>
      <c r="J8" s="6" t="n">
        <v>0</v>
      </c>
      <c r="K8" s="5" t="n">
        <v>32.58</v>
      </c>
      <c r="L8" s="188">
        <f>IFERROR(ROUNDUP((Q8/I8)/0.5,0)*0.5,0)</f>
        <v/>
      </c>
      <c r="M8" s="5">
        <f>IF(I8=0,J8*K8,I8*J8*K8)</f>
        <v/>
      </c>
      <c r="N8" s="38">
        <f>$N$14</f>
        <v/>
      </c>
      <c r="O8" s="39">
        <f>SUM(M8*N8)+M8</f>
        <v/>
      </c>
      <c r="P8" s="5">
        <f>SUM(O8-M8)</f>
        <v/>
      </c>
      <c r="Q8" s="19">
        <f>R8+S8</f>
        <v/>
      </c>
      <c r="R8" s="127">
        <f>J8*MAX(1,ROUNDUP(I8/50,0)*6)*COSTE!$G$3</f>
        <v/>
      </c>
      <c r="S8" s="126">
        <f>SUM(T8:AU8)</f>
        <v/>
      </c>
      <c r="T8" s="126">
        <f>(I8*COSTE!$G$20)/3</f>
        <v/>
      </c>
      <c r="U8" s="129">
        <f>(I8/35)*COSTE!$G$4</f>
        <v/>
      </c>
      <c r="V8" s="126">
        <f>T8*20%</f>
        <v/>
      </c>
      <c r="W8" s="126">
        <f>(I8*COSTE!$G$17)</f>
        <v/>
      </c>
      <c r="X8" s="126">
        <f>I8*COSTE!$J$17</f>
        <v/>
      </c>
      <c r="Y8" s="126">
        <f>W8*20%</f>
        <v/>
      </c>
      <c r="Z8" s="126">
        <f>((((((2*F8)+1)*G8)*0.08)*2)*COSTE!$G$21)/3</f>
        <v/>
      </c>
      <c r="AA8" s="126">
        <f>((((((2*F8)+1)*G8)*0.08)*2)/15)*COSTE!$G$4</f>
        <v/>
      </c>
      <c r="AB8" s="126">
        <f>(((((2*F6)+1)*G6)*0.08)/1.6)*COSTE!$G$4</f>
        <v/>
      </c>
      <c r="AC8" s="126">
        <f>((((F8*2)+(G8*2))*0.1)*2.44)*COSTE!$G$23</f>
        <v/>
      </c>
      <c r="AD8" s="126">
        <f>((((F8*2)+(G8*2))*0.1)*2.44)*COSTE!$J$23</f>
        <v/>
      </c>
      <c r="AE8" s="126">
        <f>((F8*2)+(G8*2))*COSTE!$G$55</f>
        <v/>
      </c>
      <c r="AF8" s="126">
        <f>I8*COSTE!$G$66</f>
        <v/>
      </c>
      <c r="AG8" s="126">
        <f>I8*0.1</f>
        <v/>
      </c>
      <c r="AH8" s="126">
        <f>((I8*2)/30)*COSTE!$G$5</f>
        <v/>
      </c>
      <c r="AI8" s="126">
        <f>ROUNDUP((I8*2)/35,0)*((COSTE!$G$20/3)+(COSTE!$G$45*1)+(COSTE!$G$4/6)+(0.5))</f>
        <v/>
      </c>
    </row>
    <row r="9">
      <c r="A9" s="104" t="inlineStr">
        <is>
          <t>FAMILIA</t>
        </is>
      </c>
      <c r="B9" s="104" t="inlineStr">
        <is>
          <t>SUB F.</t>
        </is>
      </c>
      <c r="C9" s="104" t="inlineStr">
        <is>
          <t>MATERIAL</t>
        </is>
      </c>
      <c r="D9" s="100" t="inlineStr">
        <is>
          <t>TARIMA - RAMPA</t>
        </is>
      </c>
      <c r="E9" s="100" t="inlineStr">
        <is>
          <t>COMENTARIOS</t>
        </is>
      </c>
      <c r="F9" s="101" t="inlineStr">
        <is>
          <t>Fondo</t>
        </is>
      </c>
      <c r="G9" s="101" t="inlineStr">
        <is>
          <t>Ancho</t>
        </is>
      </c>
      <c r="H9" s="101" t="n"/>
      <c r="I9" s="101" t="inlineStr">
        <is>
          <t>m2</t>
        </is>
      </c>
      <c r="J9" s="106" t="inlineStr">
        <is>
          <t>UDS</t>
        </is>
      </c>
      <c r="K9" s="101" t="inlineStr">
        <is>
          <t>€/m2</t>
        </is>
      </c>
      <c r="L9" s="142" t="inlineStr">
        <is>
          <t>€/m2 Real</t>
        </is>
      </c>
      <c r="M9" s="101" t="inlineStr">
        <is>
          <t>€/Empresa</t>
        </is>
      </c>
      <c r="N9" s="102" t="inlineStr">
        <is>
          <t>Markup %</t>
        </is>
      </c>
      <c r="O9" s="101" t="inlineStr">
        <is>
          <t>€ TOTAL</t>
        </is>
      </c>
      <c r="P9" s="101" t="inlineStr">
        <is>
          <t>BEN.EMP</t>
        </is>
      </c>
      <c r="Q9" s="122" t="inlineStr">
        <is>
          <t>COSTE TOT</t>
        </is>
      </c>
      <c r="R9" s="136" t="inlineStr">
        <is>
          <t>Diseño (1uni/1h)</t>
        </is>
      </c>
      <c r="S9" s="109" t="inlineStr">
        <is>
          <t xml:space="preserve">COSTE MAT </t>
        </is>
      </c>
      <c r="T9" s="113" t="inlineStr">
        <is>
          <t>Perfil Alu.</t>
        </is>
      </c>
      <c r="U9" s="114" t="inlineStr">
        <is>
          <t>(1m2/h) T. Fabricación</t>
        </is>
      </c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2" t="n"/>
      <c r="AE9" s="112" t="n"/>
      <c r="AF9" s="112" t="n"/>
      <c r="AG9" s="112" t="n"/>
      <c r="AH9" s="112" t="n"/>
      <c r="AI9" s="112" t="n"/>
    </row>
    <row r="10">
      <c r="A10" s="1" t="inlineStr">
        <is>
          <t>Tarima</t>
        </is>
      </c>
      <c r="B10" s="1" t="inlineStr">
        <is>
          <t>Rampa</t>
        </is>
      </c>
      <c r="C10" s="1" t="inlineStr">
        <is>
          <t>Tarima</t>
        </is>
      </c>
      <c r="D10" s="2" t="inlineStr">
        <is>
          <t>Rampa (Estandar 1x1)</t>
        </is>
      </c>
      <c r="E10" s="4" t="inlineStr">
        <is>
          <t xml:space="preserve">*El coste rampa lo pondria siempre igual por m2 ya que el valor del material esta en la tarima </t>
        </is>
      </c>
      <c r="F10" s="119" t="n">
        <v>0</v>
      </c>
      <c r="G10" s="119" t="n">
        <v>0</v>
      </c>
      <c r="H10" s="105" t="n"/>
      <c r="I10" s="5">
        <f>F10*G10</f>
        <v/>
      </c>
      <c r="J10" s="6" t="n">
        <v>0</v>
      </c>
      <c r="K10" s="187" t="n">
        <v>28</v>
      </c>
      <c r="L10" s="188">
        <f>IFERROR(ROUNDUP((Q10/I10)/0.5,0)*0.5,0)</f>
        <v/>
      </c>
      <c r="M10" s="5">
        <f>IF(I10=0,J10*K10,I10*J10*K10)</f>
        <v/>
      </c>
      <c r="N10" s="38">
        <f>$N$14</f>
        <v/>
      </c>
      <c r="O10" s="39">
        <f>SUM(M10*N10)+M10</f>
        <v/>
      </c>
      <c r="P10" s="5">
        <f>SUM(O10-M10)</f>
        <v/>
      </c>
      <c r="Q10" s="19">
        <f>R10+S10</f>
        <v/>
      </c>
      <c r="R10" s="127">
        <f>J10*MAX(1,ROUNDUP(J10/1,0)*1)*COSTE!$G$3</f>
        <v/>
      </c>
      <c r="S10" s="126">
        <f>SUM(T10:AU10)</f>
        <v/>
      </c>
      <c r="T10" s="126">
        <f>(F10*2)*COSTE!$G$55</f>
        <v/>
      </c>
      <c r="U10" s="126">
        <f>I10*COSTE!$G$5</f>
        <v/>
      </c>
      <c r="V10" s="112" t="n"/>
      <c r="W10" s="112" t="n"/>
      <c r="X10" s="112" t="n"/>
      <c r="Y10" s="112" t="n"/>
      <c r="Z10" s="112" t="n"/>
      <c r="AA10" s="112" t="n"/>
      <c r="AB10" s="112" t="n"/>
      <c r="AC10" s="112" t="n"/>
      <c r="AD10" s="112" t="n"/>
      <c r="AE10" s="112" t="n"/>
      <c r="AF10" s="112" t="n"/>
      <c r="AG10" s="112" t="n"/>
      <c r="AH10" s="112" t="n"/>
      <c r="AI10" s="112" t="n"/>
    </row>
    <row r="11">
      <c r="A11" s="104" t="inlineStr">
        <is>
          <t>FAMILIA</t>
        </is>
      </c>
      <c r="B11" s="104" t="inlineStr">
        <is>
          <t>SUB F.</t>
        </is>
      </c>
      <c r="C11" s="104" t="inlineStr">
        <is>
          <t>MATERIAL</t>
        </is>
      </c>
      <c r="D11" s="100" t="inlineStr">
        <is>
          <t xml:space="preserve">TARIMA - REGATA LED </t>
        </is>
      </c>
      <c r="E11" s="100" t="inlineStr">
        <is>
          <t>COMENTARIOS</t>
        </is>
      </c>
      <c r="F11" s="99" t="n"/>
      <c r="G11" s="99" t="n"/>
      <c r="H11" s="99" t="n"/>
      <c r="I11" s="101" t="inlineStr">
        <is>
          <t>ml</t>
        </is>
      </c>
      <c r="J11" s="106" t="inlineStr">
        <is>
          <t>UDS</t>
        </is>
      </c>
      <c r="K11" s="101" t="inlineStr">
        <is>
          <t>€/ml</t>
        </is>
      </c>
      <c r="L11" s="142" t="inlineStr">
        <is>
          <t>€/ml Real</t>
        </is>
      </c>
      <c r="M11" s="101" t="inlineStr">
        <is>
          <t>€/Empresa</t>
        </is>
      </c>
      <c r="N11" s="102" t="inlineStr">
        <is>
          <t>Markup %</t>
        </is>
      </c>
      <c r="O11" s="101" t="inlineStr">
        <is>
          <t>€ TOTAL</t>
        </is>
      </c>
      <c r="P11" s="101" t="inlineStr">
        <is>
          <t>BEN.EMP</t>
        </is>
      </c>
      <c r="Q11" s="122" t="inlineStr">
        <is>
          <t>COSTE TOT</t>
        </is>
      </c>
      <c r="R11" s="136" t="inlineStr">
        <is>
          <t>Diseño (10ml/2h)</t>
        </is>
      </c>
      <c r="S11" s="109" t="inlineStr">
        <is>
          <t xml:space="preserve">COSTE MAT </t>
        </is>
      </c>
      <c r="T11" s="114" t="inlineStr">
        <is>
          <t>(4 ml/h) T. Fabricación</t>
        </is>
      </c>
      <c r="U11" s="114" t="inlineStr">
        <is>
          <t>(2 ml/h) T. Fabricación</t>
        </is>
      </c>
      <c r="V11" s="112" t="n"/>
      <c r="W11" s="112" t="n"/>
      <c r="X11" s="112" t="n"/>
      <c r="Y11" s="112" t="n"/>
      <c r="Z11" s="112" t="n"/>
      <c r="AA11" s="112" t="n"/>
      <c r="AB11" s="112" t="n"/>
      <c r="AC11" s="112" t="n"/>
      <c r="AD11" s="112" t="n"/>
      <c r="AE11" s="112" t="n"/>
      <c r="AF11" s="112" t="n"/>
      <c r="AG11" s="112" t="n"/>
      <c r="AH11" s="112" t="n"/>
      <c r="AI11" s="112" t="n"/>
    </row>
    <row r="12">
      <c r="A12" s="1" t="inlineStr">
        <is>
          <t>Tarima</t>
        </is>
      </c>
      <c r="B12" s="1" t="inlineStr">
        <is>
          <t>Proceso</t>
        </is>
      </c>
      <c r="C12" s="1" t="inlineStr">
        <is>
          <t>Regata</t>
        </is>
      </c>
      <c r="D12" s="2" t="inlineStr">
        <is>
          <t>Regata Led Recta</t>
        </is>
      </c>
      <c r="E12" s="32" t="n"/>
      <c r="F12" s="25" t="n"/>
      <c r="G12" s="25" t="n"/>
      <c r="H12" s="25" t="n"/>
      <c r="I12" s="119" t="n">
        <v>0</v>
      </c>
      <c r="J12" s="6" t="n">
        <v>0</v>
      </c>
      <c r="K12" s="19" t="n">
        <v>5</v>
      </c>
      <c r="L12" s="188">
        <f>IFERROR(ROUNDUP((Q12/I12)/0.5,0)*0.5,0)</f>
        <v/>
      </c>
      <c r="M12" s="5">
        <f>IF(I12=0,J12*K12,I12*J12*K12)</f>
        <v/>
      </c>
      <c r="N12" s="38">
        <f>$N$14</f>
        <v/>
      </c>
      <c r="O12" s="39">
        <f>SUM(M12*N12)+M12</f>
        <v/>
      </c>
      <c r="P12" s="5">
        <f>SUM(O12-M12)</f>
        <v/>
      </c>
      <c r="Q12" s="19">
        <f>R12+S12</f>
        <v/>
      </c>
      <c r="R12" s="127">
        <f>J12*(MAX(1,ROUNDUP(I12/10,0)*2)*COSTE!$G$3)</f>
        <v/>
      </c>
      <c r="S12" s="126">
        <f>SUM(T12:AU12)</f>
        <v/>
      </c>
      <c r="T12" s="126">
        <f>(I12/4)*COSTE!$G$5</f>
        <v/>
      </c>
      <c r="U12" s="112" t="n"/>
      <c r="V12" s="112" t="n"/>
      <c r="W12" s="112" t="n"/>
      <c r="X12" s="112" t="n"/>
      <c r="Y12" s="112" t="n"/>
      <c r="Z12" s="112" t="n"/>
      <c r="AA12" s="112" t="n"/>
      <c r="AB12" s="112" t="n"/>
      <c r="AC12" s="112" t="n"/>
      <c r="AD12" s="112" t="n"/>
      <c r="AE12" s="112" t="n"/>
      <c r="AF12" s="112" t="n"/>
      <c r="AG12" s="112" t="n"/>
      <c r="AH12" s="112" t="n"/>
      <c r="AI12" s="112" t="n"/>
    </row>
    <row r="13">
      <c r="A13" s="1" t="inlineStr">
        <is>
          <t>Tarima</t>
        </is>
      </c>
      <c r="B13" s="1" t="inlineStr">
        <is>
          <t>Proceso</t>
        </is>
      </c>
      <c r="C13" s="1" t="inlineStr">
        <is>
          <t>Regata</t>
        </is>
      </c>
      <c r="D13" s="2" t="inlineStr">
        <is>
          <t>Regata Led Diagonal o Curva</t>
        </is>
      </c>
      <c r="E13" s="32" t="n"/>
      <c r="F13" s="25" t="n"/>
      <c r="G13" s="25" t="n"/>
      <c r="H13" s="25" t="n"/>
      <c r="I13" s="119" t="n">
        <v>0</v>
      </c>
      <c r="J13" s="6" t="n">
        <v>0</v>
      </c>
      <c r="K13" s="19" t="n">
        <v>10</v>
      </c>
      <c r="L13" s="188">
        <f>IFERROR(ROUNDUP((Q13/I13)/0.5,0)*0.5,0)</f>
        <v/>
      </c>
      <c r="M13" s="5">
        <f>IF(I13=0,J13*K13,I13*J13*K13)</f>
        <v/>
      </c>
      <c r="N13" s="38">
        <f>$N$14</f>
        <v/>
      </c>
      <c r="O13" s="39">
        <f>SUM(M13*N13)+M13</f>
        <v/>
      </c>
      <c r="P13" s="5">
        <f>SUM(O13-M13)</f>
        <v/>
      </c>
      <c r="Q13" s="19">
        <f>R13+S13</f>
        <v/>
      </c>
      <c r="R13" s="127">
        <f>J13*(MAX(1,ROUNDUP(I13/10,0)*2)*COSTE!$G$3)</f>
        <v/>
      </c>
      <c r="S13" s="126">
        <f>SUM(T13:AU13)</f>
        <v/>
      </c>
      <c r="T13" s="115" t="n"/>
      <c r="U13" s="126">
        <f>(I13/2)*COSTE!$G$5</f>
        <v/>
      </c>
      <c r="V13" s="112" t="n"/>
      <c r="W13" s="112" t="n"/>
      <c r="X13" s="112" t="n"/>
      <c r="Y13" s="112" t="n"/>
      <c r="Z13" s="112" t="n"/>
      <c r="AA13" s="112" t="n"/>
      <c r="AB13" s="112" t="n"/>
      <c r="AC13" s="112" t="n"/>
      <c r="AD13" s="112" t="n"/>
      <c r="AE13" s="112" t="n"/>
      <c r="AF13" s="112" t="n"/>
      <c r="AG13" s="112" t="n"/>
      <c r="AH13" s="112" t="n"/>
      <c r="AI13" s="112" t="n"/>
    </row>
    <row r="14" customFormat="1" s="191">
      <c r="A14" s="22" t="n"/>
      <c r="B14" s="22" t="n"/>
      <c r="C14" s="22" t="n"/>
      <c r="D14" s="22" t="n"/>
      <c r="E14" s="22" t="n"/>
      <c r="F14" s="8" t="n"/>
      <c r="G14" s="8" t="n"/>
      <c r="H14" s="8" t="n"/>
      <c r="I14" s="8" t="n"/>
      <c r="J14" s="8" t="n"/>
      <c r="K14" s="8" t="inlineStr">
        <is>
          <t>TOTAL TARIMA</t>
        </is>
      </c>
      <c r="L14" s="8" t="n"/>
      <c r="M14" s="9">
        <f>SUM(M5:M13)</f>
        <v/>
      </c>
      <c r="N14" s="18">
        <f>$N$2</f>
        <v/>
      </c>
      <c r="O14" s="9">
        <f>SUM(O5:O13)</f>
        <v/>
      </c>
      <c r="P14" s="9">
        <f>SUM(P5:P13)</f>
        <v/>
      </c>
      <c r="Q14" s="9">
        <f>SUM(Q5:Q13)</f>
        <v/>
      </c>
      <c r="R14" s="137" t="n"/>
      <c r="S14" s="9">
        <f>SUM(S5:S13)</f>
        <v/>
      </c>
      <c r="T14" s="131" t="n"/>
      <c r="U14" s="131" t="n"/>
      <c r="V14" s="131" t="n"/>
      <c r="W14" s="131" t="n"/>
      <c r="X14" s="131" t="n"/>
      <c r="Y14" s="131" t="n"/>
      <c r="Z14" s="131" t="n"/>
      <c r="AA14" s="131" t="n"/>
      <c r="AB14" s="131" t="n"/>
      <c r="AC14" s="131" t="n"/>
      <c r="AD14" s="131" t="n"/>
      <c r="AE14" s="131" t="n"/>
      <c r="AF14" s="131" t="n"/>
      <c r="AG14" s="131" t="n"/>
      <c r="AH14" s="131" t="n"/>
      <c r="AI14" s="131" t="n"/>
    </row>
    <row r="15">
      <c r="A15" s="104" t="inlineStr">
        <is>
          <t>FAMILIA</t>
        </is>
      </c>
      <c r="B15" s="104" t="inlineStr">
        <is>
          <t>SUB F.</t>
        </is>
      </c>
      <c r="C15" s="104" t="inlineStr">
        <is>
          <t>MATERIAL</t>
        </is>
      </c>
      <c r="D15" s="100" t="inlineStr">
        <is>
          <t>MURO</t>
        </is>
      </c>
      <c r="E15" s="100" t="inlineStr">
        <is>
          <t>COMENTARIOS</t>
        </is>
      </c>
      <c r="F15" s="99" t="inlineStr">
        <is>
          <t>Largo</t>
        </is>
      </c>
      <c r="G15" s="99" t="inlineStr">
        <is>
          <t>Altura</t>
        </is>
      </c>
      <c r="H15" s="99" t="inlineStr">
        <is>
          <t>Grosor</t>
        </is>
      </c>
      <c r="I15" s="99" t="inlineStr">
        <is>
          <t>m2</t>
        </is>
      </c>
      <c r="J15" s="106" t="inlineStr">
        <is>
          <t>UDS</t>
        </is>
      </c>
      <c r="K15" s="101" t="inlineStr">
        <is>
          <t>€/m2</t>
        </is>
      </c>
      <c r="L15" s="142" t="inlineStr">
        <is>
          <t>€/m2+G Real</t>
        </is>
      </c>
      <c r="M15" s="101" t="inlineStr">
        <is>
          <t>€/Empresa</t>
        </is>
      </c>
      <c r="N15" s="102" t="inlineStr">
        <is>
          <t>Markup %</t>
        </is>
      </c>
      <c r="O15" s="101" t="inlineStr">
        <is>
          <t>€ TOTAL</t>
        </is>
      </c>
      <c r="P15" s="101" t="inlineStr">
        <is>
          <t>BEN.EMP</t>
        </is>
      </c>
      <c r="Q15" s="122" t="inlineStr">
        <is>
          <t>COSTE TOT</t>
        </is>
      </c>
      <c r="R15" s="136" t="inlineStr">
        <is>
          <t>Diseño 20m2/5h)</t>
        </is>
      </c>
      <c r="S15" s="109" t="inlineStr">
        <is>
          <t xml:space="preserve">COSTE MAT </t>
        </is>
      </c>
      <c r="T15" s="113" t="inlineStr">
        <is>
          <t xml:space="preserve">Tableros </t>
        </is>
      </c>
      <c r="U15" s="110" t="inlineStr">
        <is>
          <t>Corte</t>
        </is>
      </c>
      <c r="V15" s="110" t="inlineStr">
        <is>
          <t>Cadel</t>
        </is>
      </c>
      <c r="W15" s="110" t="inlineStr">
        <is>
          <t>Merma 20%</t>
        </is>
      </c>
      <c r="X15" s="111" t="inlineStr">
        <is>
          <t>Rastreles (r)</t>
        </is>
      </c>
      <c r="Y15" s="116" t="inlineStr">
        <is>
          <t>(15m2/h)  Corte</t>
        </is>
      </c>
      <c r="Z15" s="113" t="inlineStr">
        <is>
          <t>Columnas</t>
        </is>
      </c>
      <c r="AA15" s="117" t="inlineStr">
        <is>
          <t>(15m2/h)   Corte</t>
        </is>
      </c>
      <c r="AB15" s="117" t="inlineStr">
        <is>
          <t>(7,5 m2/h) Montaje</t>
        </is>
      </c>
      <c r="AC15" s="118" t="inlineStr">
        <is>
          <t>Almas</t>
        </is>
      </c>
      <c r="AD15" s="118" t="inlineStr">
        <is>
          <t xml:space="preserve">Corte </t>
        </is>
      </c>
      <c r="AE15" s="117" t="inlineStr">
        <is>
          <t>Yapasas</t>
        </is>
      </c>
      <c r="AF15" s="111" t="inlineStr">
        <is>
          <t>(30m2/h) T. Paletizacion</t>
        </is>
      </c>
      <c r="AG15" s="110" t="inlineStr">
        <is>
          <t>Palets</t>
        </is>
      </c>
      <c r="AH15" s="111" t="inlineStr">
        <is>
          <t>Tornilleria</t>
        </is>
      </c>
      <c r="AI15" s="112" t="n"/>
    </row>
    <row r="16">
      <c r="A16" s="1" t="inlineStr">
        <is>
          <t>Muro</t>
        </is>
      </c>
      <c r="B16" s="1" t="inlineStr">
        <is>
          <t>Paredes</t>
        </is>
      </c>
      <c r="C16" s="1" t="inlineStr">
        <is>
          <t>Aglomerado</t>
        </is>
      </c>
      <c r="D16" s="2" t="inlineStr">
        <is>
          <t>1 Cara (Grosor Estandar 0,1m / Altura 2,75m)</t>
        </is>
      </c>
      <c r="E16" s="20" t="inlineStr">
        <is>
          <t>*El grosor se pone en el excel</t>
        </is>
      </c>
      <c r="F16" s="119" t="n">
        <v>0</v>
      </c>
      <c r="G16" s="119" t="n">
        <v>0</v>
      </c>
      <c r="H16" s="119" t="n">
        <v>0</v>
      </c>
      <c r="I16" s="5">
        <f>F16*G16</f>
        <v/>
      </c>
      <c r="J16" s="6" t="n">
        <v>0</v>
      </c>
      <c r="K16" s="187" t="n">
        <v>14</v>
      </c>
      <c r="L16" s="188">
        <f>IFERROR(ROUNDUP((Q16/I16)/0.5,0)*0.5,0)</f>
        <v/>
      </c>
      <c r="M16" s="5">
        <f>IF(I16=0,J16*K16,I16*J16*K16)</f>
        <v/>
      </c>
      <c r="N16" s="38">
        <f>$N$46</f>
        <v/>
      </c>
      <c r="O16" s="39">
        <f>SUM(M16*N16)+M16</f>
        <v/>
      </c>
      <c r="P16" s="5">
        <f>SUM(O16-M16)</f>
        <v/>
      </c>
      <c r="Q16" s="19">
        <f>R16+S16</f>
        <v/>
      </c>
      <c r="R16" s="127">
        <f>J16*(MAX(1,ROUNDUP(I16/20,0)*5)*COSTE!$G$3)</f>
        <v/>
      </c>
      <c r="S16" s="126">
        <f>SUM(T16:AU16)</f>
        <v/>
      </c>
      <c r="T16" s="126">
        <f> ((F16*G16) + ((H16*G16)*2))*COSTE!$G$20</f>
        <v/>
      </c>
      <c r="U16" s="123">
        <f> ((F16*G16) + ((H16*G16)*2))*COSTE!$J$20</f>
        <v/>
      </c>
      <c r="V16" s="115" t="n"/>
      <c r="W16" s="126">
        <f>T16*20%</f>
        <v/>
      </c>
      <c r="X16" s="126">
        <f>(((F16*(H16-(0.016*2)))*2)*COSTE!$G$20)/3</f>
        <v/>
      </c>
      <c r="Y16" s="123">
        <f>(((F16*(H16-(0.016*2)))*2)/15)*COSTE!$G$4</f>
        <v/>
      </c>
      <c r="Z16" s="126">
        <f>((F16+1)*(((0.08*G16)*2)+((H16-(0.016*4))*G16)))*COSTE!$G$20</f>
        <v/>
      </c>
      <c r="AA16" s="126">
        <f>(((F16+1)*(((0.08*G16)*2)+((H16-(0.016*4))*G16)))/15)*COSTE!$G$4</f>
        <v/>
      </c>
      <c r="AB16" s="126">
        <f>(((F16+1)*(((0.08*G16)*2)+((H16-(0.016*4))*G16)))/7.5)*COSTE!$G$4</f>
        <v/>
      </c>
      <c r="AC16" s="112" t="n"/>
      <c r="AD16" s="112" t="n"/>
      <c r="AE16" s="112" t="n"/>
      <c r="AF16" s="126">
        <f>(I16/30)*COSTE!$G$5</f>
        <v/>
      </c>
      <c r="AG16" s="126">
        <f>ROUNDUP(I16/35,0)*((COSTE!$G$20/3)+(COSTE!$G$45*1)+(COSTE!$G$4/6)+(0.5))</f>
        <v/>
      </c>
      <c r="AH16" s="126">
        <f>I16*0.1</f>
        <v/>
      </c>
      <c r="AI16" s="112" t="n"/>
    </row>
    <row r="17">
      <c r="A17" s="1" t="inlineStr">
        <is>
          <t>Muro</t>
        </is>
      </c>
      <c r="B17" s="1" t="inlineStr">
        <is>
          <t>Paredes</t>
        </is>
      </c>
      <c r="C17" s="1" t="inlineStr">
        <is>
          <t>Aglomerado</t>
        </is>
      </c>
      <c r="D17" s="2" t="inlineStr">
        <is>
          <t>2 Cara (Grosor Estandar 0,1m / Altura 2,75m)</t>
        </is>
      </c>
      <c r="E17" s="20" t="inlineStr">
        <is>
          <t>*El grosor se pone en el excel</t>
        </is>
      </c>
      <c r="F17" s="119" t="n">
        <v>0</v>
      </c>
      <c r="G17" s="119" t="n">
        <v>0</v>
      </c>
      <c r="H17" s="119" t="n">
        <v>0</v>
      </c>
      <c r="I17" s="5">
        <f>F17*G17</f>
        <v/>
      </c>
      <c r="J17" s="6" t="n">
        <v>0</v>
      </c>
      <c r="K17" s="187" t="n">
        <v>22</v>
      </c>
      <c r="L17" s="188">
        <f>IFERROR(ROUNDUP((Q17/I17)/0.5,0)*0.5,0)</f>
        <v/>
      </c>
      <c r="M17" s="5">
        <f>IF(I17=0,J17*K17,I17*J17*K17)</f>
        <v/>
      </c>
      <c r="N17" s="38">
        <f>$N$46</f>
        <v/>
      </c>
      <c r="O17" s="39">
        <f>SUM(M17*N17)+M17</f>
        <v/>
      </c>
      <c r="P17" s="5">
        <f>SUM(O17-M17)</f>
        <v/>
      </c>
      <c r="Q17" s="19">
        <f>R17+S17</f>
        <v/>
      </c>
      <c r="R17" s="127">
        <f>J17*(MAX(1,ROUNDUP(I17/20,0)*5)*COSTE!$G$3)</f>
        <v/>
      </c>
      <c r="S17" s="126">
        <f>SUM(T17:AU17)</f>
        <v/>
      </c>
      <c r="T17" s="126">
        <f> (((F17*G17) + ((H17*G17)*2))*2)*COSTE!$G$20</f>
        <v/>
      </c>
      <c r="U17" s="123">
        <f> (((F17*G17) + ((H17*G17)*2))*2)*COSTE!$J$20</f>
        <v/>
      </c>
      <c r="V17" s="115" t="n"/>
      <c r="W17" s="126">
        <f>T17*20%</f>
        <v/>
      </c>
      <c r="X17" s="126">
        <f>(((F17*(H17-(0.016*2)))*2)*COSTE!$G$20)/3</f>
        <v/>
      </c>
      <c r="Y17" s="123">
        <f>(((F17*(H17-(0.016*2)))*2)/15)*COSTE!$G$4</f>
        <v/>
      </c>
      <c r="Z17" s="126">
        <f>((F17+1)*(((0.08*G17)*2)+((H17-(0.016*4))*G17)))*COSTE!$G$20</f>
        <v/>
      </c>
      <c r="AA17" s="126">
        <f>(((F17+1)*(((0.08*G17)*2)+((H17-(0.016*4))*G17)))/15)*COSTE!$G$4</f>
        <v/>
      </c>
      <c r="AB17" s="126">
        <f>(((F17+1)*(((0.08*G17)*2)+((H17-(0.016*4))*G17)))/7.5)*COSTE!$G$4</f>
        <v/>
      </c>
      <c r="AC17" s="112" t="n"/>
      <c r="AD17" s="112" t="n"/>
      <c r="AE17" s="112" t="n"/>
      <c r="AF17" s="126">
        <f>(I17/30)*COSTE!$G$5</f>
        <v/>
      </c>
      <c r="AG17" s="126">
        <f>ROUNDUP(I17/35,0)*((COSTE!$G$20/3)+(COSTE!$G$45*1)+(COSTE!$G$4/6)+(0.5))</f>
        <v/>
      </c>
      <c r="AH17" s="126">
        <f>I17*0.1</f>
        <v/>
      </c>
      <c r="AI17" s="112" t="n"/>
    </row>
    <row r="18">
      <c r="A18" s="1" t="inlineStr">
        <is>
          <t>Muro</t>
        </is>
      </c>
      <c r="B18" s="1" t="inlineStr">
        <is>
          <t>Paredes</t>
        </is>
      </c>
      <c r="C18" s="1" t="inlineStr">
        <is>
          <t>MDF</t>
        </is>
      </c>
      <c r="D18" s="2" t="inlineStr">
        <is>
          <t>1 Cara (Grosor Estandar 0,1m / Altura 2,75m)</t>
        </is>
      </c>
      <c r="E18" s="20" t="inlineStr">
        <is>
          <t>*El grosor se pone en el excel</t>
        </is>
      </c>
      <c r="F18" s="119" t="n">
        <v>0</v>
      </c>
      <c r="G18" s="119" t="n">
        <v>0</v>
      </c>
      <c r="H18" s="119" t="n">
        <v>0</v>
      </c>
      <c r="I18" s="5">
        <f>F18*G18</f>
        <v/>
      </c>
      <c r="J18" s="6" t="n">
        <v>0</v>
      </c>
      <c r="K18" s="187" t="n">
        <v>21</v>
      </c>
      <c r="L18" s="188">
        <f>IFERROR(ROUNDUP((Q18/I18)/0.5,0)*0.5,0)</f>
        <v/>
      </c>
      <c r="M18" s="5">
        <f>IF(I18=0,J18*K18,I18*J18*K18)</f>
        <v/>
      </c>
      <c r="N18" s="38">
        <f>$N$46</f>
        <v/>
      </c>
      <c r="O18" s="39">
        <f>SUM(M18*N18)+M18</f>
        <v/>
      </c>
      <c r="P18" s="5">
        <f>SUM(O18-M18)</f>
        <v/>
      </c>
      <c r="Q18" s="19">
        <f>R18+S18</f>
        <v/>
      </c>
      <c r="R18" s="127">
        <f>J18*(MAX(1,ROUNDUP(I18/20,0)*5)*COSTE!$G$3)</f>
        <v/>
      </c>
      <c r="S18" s="126">
        <f>SUM(T18:AU18)</f>
        <v/>
      </c>
      <c r="T18" s="126">
        <f> ((F18*G18) + ((H18*G18)*2))*COSTE!$G$27</f>
        <v/>
      </c>
      <c r="U18" s="123">
        <f> ((F18*G18) + ((H18*G18)*2))*COSTE!$J$27</f>
        <v/>
      </c>
      <c r="V18" s="115" t="n"/>
      <c r="W18" s="126">
        <f>T18*20%</f>
        <v/>
      </c>
      <c r="X18" s="126">
        <f>(((F18*(H18-(0.016*2)))*2)*COSTE!$G$20)/3</f>
        <v/>
      </c>
      <c r="Y18" s="123">
        <f>(((F18*(H18-(0.016*2)))*2)/15)*COSTE!$G$4</f>
        <v/>
      </c>
      <c r="Z18" s="126">
        <f>((F18+1)*(((0.08*G18)*2)+((H18-(0.016*4))*G18)))*COSTE!$G$20</f>
        <v/>
      </c>
      <c r="AA18" s="126">
        <f>(((F18+1)*(((0.08*G18)*2)+((H18-(0.016*4))*G18)))/15)*COSTE!$G$4</f>
        <v/>
      </c>
      <c r="AB18" s="126">
        <f>(((F18+1)*(((0.08*G18)*2)+((H18-(0.016*4))*G18)))/7.5)*COSTE!$G$4</f>
        <v/>
      </c>
      <c r="AC18" s="112" t="n"/>
      <c r="AD18" s="112" t="n"/>
      <c r="AE18" s="112" t="n"/>
      <c r="AF18" s="126">
        <f>(I18/30)*COSTE!$G$5</f>
        <v/>
      </c>
      <c r="AG18" s="126">
        <f>ROUNDUP(I18/35,0)*((COSTE!$G$20/3)+(COSTE!$G$45*1)+(COSTE!$G$4/6)+(0.5))</f>
        <v/>
      </c>
      <c r="AH18" s="126">
        <f>I18*0.1</f>
        <v/>
      </c>
      <c r="AI18" s="112" t="n"/>
    </row>
    <row r="19">
      <c r="A19" s="1" t="inlineStr">
        <is>
          <t>Muro</t>
        </is>
      </c>
      <c r="B19" s="1" t="inlineStr">
        <is>
          <t>Paredes</t>
        </is>
      </c>
      <c r="C19" s="1" t="inlineStr">
        <is>
          <t>MDF</t>
        </is>
      </c>
      <c r="D19" s="2" t="inlineStr">
        <is>
          <t>2 Cara (Grosor Estandar 0,1m/ Altura 2,75m)</t>
        </is>
      </c>
      <c r="E19" s="20" t="inlineStr">
        <is>
          <t>*El grosor se pone en el excel</t>
        </is>
      </c>
      <c r="F19" s="119" t="n">
        <v>0</v>
      </c>
      <c r="G19" s="119" t="n">
        <v>0</v>
      </c>
      <c r="H19" s="119" t="n">
        <v>0</v>
      </c>
      <c r="I19" s="5">
        <f>F19*G19</f>
        <v/>
      </c>
      <c r="J19" s="6" t="n">
        <v>0</v>
      </c>
      <c r="K19" s="187" t="n">
        <v>34</v>
      </c>
      <c r="L19" s="188">
        <f>IFERROR(ROUNDUP((Q19/I19)/0.5,0)*0.5,0)</f>
        <v/>
      </c>
      <c r="M19" s="5">
        <f>IF(I19=0,J19*K19,I19*J19*K19)</f>
        <v/>
      </c>
      <c r="N19" s="38">
        <f>$N$46</f>
        <v/>
      </c>
      <c r="O19" s="39">
        <f>SUM(M19*N19)+M19</f>
        <v/>
      </c>
      <c r="P19" s="5">
        <f>SUM(O19-M19)</f>
        <v/>
      </c>
      <c r="Q19" s="19">
        <f>R19+S19</f>
        <v/>
      </c>
      <c r="R19" s="127">
        <f>J19*(MAX(1,ROUNDUP(I19/20,0)*5)*COSTE!$G$3)</f>
        <v/>
      </c>
      <c r="S19" s="126">
        <f>SUM(T19:AU19)</f>
        <v/>
      </c>
      <c r="T19" s="126">
        <f> (((F19*G19) + ((H19*G19)*2))*2)*COSTE!$G$27</f>
        <v/>
      </c>
      <c r="U19" s="123">
        <f> (((F19*G19) + ((H19*G19)*2))*2)*COSTE!$J$27</f>
        <v/>
      </c>
      <c r="V19" s="115" t="n"/>
      <c r="W19" s="126">
        <f>T19*20%</f>
        <v/>
      </c>
      <c r="X19" s="126">
        <f>(((F19*(H19-(0.016*2)))*2)*COSTE!$G$20)/3</f>
        <v/>
      </c>
      <c r="Y19" s="123">
        <f>(((F19*(H19-(0.016*2)))*2)/15)*COSTE!$G$4</f>
        <v/>
      </c>
      <c r="Z19" s="126">
        <f>((F19+1)*(((0.08*G19)*2)+((H19-(0.016*4))*G19)))*COSTE!$G$20</f>
        <v/>
      </c>
      <c r="AA19" s="126">
        <f>(((F19+1)*(((0.08*G19)*2)+((H19-(0.016*4))*G19)))/15)*COSTE!$G$4</f>
        <v/>
      </c>
      <c r="AB19" s="126">
        <f>(((F19+1)*(((0.08*G19)*2)+((H19-(0.016*4))*G19)))/7.5)*COSTE!$G$4</f>
        <v/>
      </c>
      <c r="AC19" s="112" t="n"/>
      <c r="AD19" s="112" t="n"/>
      <c r="AE19" s="112" t="n"/>
      <c r="AF19" s="126">
        <f>(I19/30)*COSTE!$G$5</f>
        <v/>
      </c>
      <c r="AG19" s="126">
        <f>ROUNDUP(I19/35,0)*((COSTE!$G$20/3)+(COSTE!$G$45*1)+(COSTE!$G$4/6)+(0.5))</f>
        <v/>
      </c>
      <c r="AH19" s="126">
        <f>I19*0.1</f>
        <v/>
      </c>
      <c r="AI19" s="112" t="n"/>
    </row>
    <row r="20">
      <c r="A20" s="1" t="inlineStr">
        <is>
          <t>Muro</t>
        </is>
      </c>
      <c r="B20" s="1" t="inlineStr">
        <is>
          <t>Paredes</t>
        </is>
      </c>
      <c r="C20" s="1" t="inlineStr">
        <is>
          <t>Melamina</t>
        </is>
      </c>
      <c r="D20" s="2" t="inlineStr">
        <is>
          <t>1 Cara (Grosor Estandar 0,1m / Altura 2,75m)</t>
        </is>
      </c>
      <c r="E20" s="20" t="inlineStr">
        <is>
          <t>*El grosor se pone en el excel</t>
        </is>
      </c>
      <c r="F20" s="119" t="n">
        <v>0</v>
      </c>
      <c r="G20" s="119" t="n">
        <v>0</v>
      </c>
      <c r="H20" s="119" t="n">
        <v>0</v>
      </c>
      <c r="I20" s="5">
        <f>F20*G20</f>
        <v/>
      </c>
      <c r="J20" s="6" t="n">
        <v>0</v>
      </c>
      <c r="K20" s="187" t="n">
        <v>15</v>
      </c>
      <c r="L20" s="188">
        <f>IFERROR(ROUNDUP((Q20/I20)/0.5,0)*0.5,0)</f>
        <v/>
      </c>
      <c r="M20" s="5">
        <f>IF(I20=0,J20*K20,I20*J20*K20)</f>
        <v/>
      </c>
      <c r="N20" s="38">
        <f>$N$46</f>
        <v/>
      </c>
      <c r="O20" s="39">
        <f>SUM(M20*N20)+M20</f>
        <v/>
      </c>
      <c r="P20" s="5">
        <f>SUM(O20-M20)</f>
        <v/>
      </c>
      <c r="Q20" s="19">
        <f>R20+S20</f>
        <v/>
      </c>
      <c r="R20" s="127">
        <f>J20*(MAX(1,ROUNDUP(I20/20,0)*5)*COSTE!$G$3)</f>
        <v/>
      </c>
      <c r="S20" s="126">
        <f>SUM(T20:AU20)</f>
        <v/>
      </c>
      <c r="T20" s="126">
        <f> ((F20*G20) + ((H20*G20)*2))*COSTE!$G$13</f>
        <v/>
      </c>
      <c r="U20" s="123">
        <f> ((F20*G20) + ((H20*G20)*2))*COSTE!$J$13</f>
        <v/>
      </c>
      <c r="V20" s="125">
        <f> ((F20*G20) + ((H20*G20)*2))*COSTE!$L$13</f>
        <v/>
      </c>
      <c r="W20" s="126">
        <f>T20*20%</f>
        <v/>
      </c>
      <c r="X20" s="126">
        <f>(((F20*(H20-(0.016*2)))*2)*COSTE!$G$20)/3</f>
        <v/>
      </c>
      <c r="Y20" s="123">
        <f>(((F20*(H20-(0.016*2)))*2)/15)*COSTE!$G$4</f>
        <v/>
      </c>
      <c r="Z20" s="126">
        <f>((F20+1)*(((0.08*G20)*2)+((H20-(0.016*4))*G20)))*COSTE!$G$20</f>
        <v/>
      </c>
      <c r="AA20" s="126">
        <f>(((F20+1)*(((0.08*G20)*2)+((H20-(0.016*4))*G20)))/15)*COSTE!$G$4</f>
        <v/>
      </c>
      <c r="AB20" s="126">
        <f>(((F20+1)*(((0.08*G20)*2)+((H20-(0.016*4))*G20)))/7.5)*COSTE!$G$4</f>
        <v/>
      </c>
      <c r="AC20" s="126">
        <f>(((F20*G20)+F20)*0.027)*COSTE!$G$25</f>
        <v/>
      </c>
      <c r="AD20" s="126">
        <f>(((F20*G20)+F20)*0.027)*COSTE!J25</f>
        <v/>
      </c>
      <c r="AE20" s="126">
        <f>(F20*COSTE!$G$20)/3</f>
        <v/>
      </c>
      <c r="AF20" s="126">
        <f>(I20/30)*COSTE!$G$5</f>
        <v/>
      </c>
      <c r="AG20" s="126">
        <f>ROUNDUP(I20/35,0)*((COSTE!$G$20/3)+(COSTE!$G$45*1)+(COSTE!$G$4/6)+(0.5))</f>
        <v/>
      </c>
      <c r="AH20" s="126">
        <f>I20*0.1</f>
        <v/>
      </c>
      <c r="AI20" s="112" t="n"/>
    </row>
    <row r="21">
      <c r="A21" s="1" t="inlineStr">
        <is>
          <t>Muro</t>
        </is>
      </c>
      <c r="B21" s="1" t="inlineStr">
        <is>
          <t>Paredes</t>
        </is>
      </c>
      <c r="C21" s="1" t="inlineStr">
        <is>
          <t>Melamina</t>
        </is>
      </c>
      <c r="D21" s="2" t="inlineStr">
        <is>
          <t>2 Cara (Grosor Estandar 0,1m / Altura 2,75m)</t>
        </is>
      </c>
      <c r="E21" s="20" t="inlineStr">
        <is>
          <t>*El grosor se pone en el excel</t>
        </is>
      </c>
      <c r="F21" s="119" t="n">
        <v>0</v>
      </c>
      <c r="G21" s="119" t="n">
        <v>0</v>
      </c>
      <c r="H21" s="119" t="n">
        <v>0</v>
      </c>
      <c r="I21" s="5">
        <f>F21*G21</f>
        <v/>
      </c>
      <c r="J21" s="6" t="n">
        <v>0</v>
      </c>
      <c r="K21" s="187" t="n">
        <v>25</v>
      </c>
      <c r="L21" s="188">
        <f>IFERROR(ROUNDUP((Q21/I21)/0.5,0)*0.5,0)</f>
        <v/>
      </c>
      <c r="M21" s="5">
        <f>IF(I21=0,J21*K21,I21*J21*K21)</f>
        <v/>
      </c>
      <c r="N21" s="38">
        <f>$N$46</f>
        <v/>
      </c>
      <c r="O21" s="39">
        <f>SUM(M21*N21)+M21</f>
        <v/>
      </c>
      <c r="P21" s="5">
        <f>SUM(O21-M21)</f>
        <v/>
      </c>
      <c r="Q21" s="19">
        <f>R21+S21</f>
        <v/>
      </c>
      <c r="R21" s="127">
        <f>J21*(MAX(1,ROUNDUP(I21/20,0)*5)*COSTE!$G$3)</f>
        <v/>
      </c>
      <c r="S21" s="126">
        <f>SUM(T21:AU21)</f>
        <v/>
      </c>
      <c r="T21" s="126">
        <f> (((F21*G21) + ((H21*G21)*2))*2)*COSTE!$G$13</f>
        <v/>
      </c>
      <c r="U21" s="123">
        <f> (((F21*G21) + ((H21*G21)*2))*2)*COSTE!$J$13</f>
        <v/>
      </c>
      <c r="V21" s="125">
        <f> (((F21*G21) + ((H21*G21)*2))*2)*COSTE!$L$13</f>
        <v/>
      </c>
      <c r="W21" s="126">
        <f>T21*20%</f>
        <v/>
      </c>
      <c r="X21" s="126">
        <f>(((F21*(H21-(0.016*2)))*2)*COSTE!$G$20)/3</f>
        <v/>
      </c>
      <c r="Y21" s="123">
        <f>(((F21*(H21-(0.016*2)))*2)/15)*COSTE!$G$4</f>
        <v/>
      </c>
      <c r="Z21" s="126">
        <f>((F21+1)*(((0.08*G21)*2)+((H21-(0.016*4))*G21)))*COSTE!$G$20</f>
        <v/>
      </c>
      <c r="AA21" s="126">
        <f>(((F21+1)*(((0.08*G21)*2)+((H21-(0.016*4))*G21)))/15)*COSTE!$G$4</f>
        <v/>
      </c>
      <c r="AB21" s="126">
        <f>(((F21+1)*(((0.08*G21)*2)+((H21-(0.016*4))*G21)))/7.5)*COSTE!$G$4</f>
        <v/>
      </c>
      <c r="AC21" s="126">
        <f>(((F21*G21)+F21)*0.027)*COSTE!$G$25</f>
        <v/>
      </c>
      <c r="AD21" s="126">
        <f>(((F21*G21)+F21)*0.027)*COSTE!J26</f>
        <v/>
      </c>
      <c r="AE21" s="126">
        <f>(F21*COSTE!$G$20)/3</f>
        <v/>
      </c>
      <c r="AF21" s="126">
        <f>(I21/30)*COSTE!$G$5</f>
        <v/>
      </c>
      <c r="AG21" s="126">
        <f>ROUNDUP(I21/35,0)*((COSTE!$G$20/3)+(COSTE!$G$45*1)+(COSTE!$G$4/6)+(0.5))</f>
        <v/>
      </c>
      <c r="AH21" s="126">
        <f>I21*0.1</f>
        <v/>
      </c>
      <c r="AI21" s="112" t="n"/>
    </row>
    <row r="22">
      <c r="A22" s="1" t="inlineStr">
        <is>
          <t>Muro</t>
        </is>
      </c>
      <c r="B22" s="1" t="inlineStr">
        <is>
          <t>Paredes</t>
        </is>
      </c>
      <c r="C22" s="1" t="inlineStr">
        <is>
          <t>Melamina Especial / Chopo</t>
        </is>
      </c>
      <c r="D22" s="2" t="inlineStr">
        <is>
          <t>1 Cara (Grosor Estandar 0,1m/ Altura 2,75m)</t>
        </is>
      </c>
      <c r="E22" s="20" t="inlineStr">
        <is>
          <t>*El grosor se pone en el excel</t>
        </is>
      </c>
      <c r="F22" s="119" t="n">
        <v>0</v>
      </c>
      <c r="G22" s="119" t="n">
        <v>0</v>
      </c>
      <c r="H22" s="119" t="n">
        <v>0</v>
      </c>
      <c r="I22" s="5">
        <f>F22*G22</f>
        <v/>
      </c>
      <c r="J22" s="6" t="n">
        <v>0</v>
      </c>
      <c r="K22" s="187" t="n">
        <v>21</v>
      </c>
      <c r="L22" s="188">
        <f>IFERROR(ROUNDUP((Q22/I22)/0.5,0)*0.5,0)</f>
        <v/>
      </c>
      <c r="M22" s="5">
        <f>IF(I22=0,J22*K22,I22*J22*K22)</f>
        <v/>
      </c>
      <c r="N22" s="38">
        <f>$N$46</f>
        <v/>
      </c>
      <c r="O22" s="39">
        <f>SUM(M22*N22)+M22</f>
        <v/>
      </c>
      <c r="P22" s="5">
        <f>SUM(O22-M22)</f>
        <v/>
      </c>
      <c r="Q22" s="19">
        <f>R22+S22</f>
        <v/>
      </c>
      <c r="R22" s="127">
        <f>J22*(MAX(1,ROUNDUP(I22/20,0)*5)*COSTE!$G$3)</f>
        <v/>
      </c>
      <c r="S22" s="126">
        <f>SUM(T22:AU22)</f>
        <v/>
      </c>
      <c r="T22" s="126">
        <f> ((F22*G22) + ((H22*G22)*2))*COSTE!$G$17</f>
        <v/>
      </c>
      <c r="U22" s="123">
        <f> ((F22*G22) + ((H22*G22)*2))*COSTE!$J$17</f>
        <v/>
      </c>
      <c r="V22" s="125">
        <f> ((F22*G22) + ((H22*G22)*2))*COSTE!$L$17</f>
        <v/>
      </c>
      <c r="W22" s="126">
        <f>T22*20%</f>
        <v/>
      </c>
      <c r="X22" s="126">
        <f>(((F22*(H22-(0.016*2)))*2)*COSTE!$G$20)/3</f>
        <v/>
      </c>
      <c r="Y22" s="123">
        <f>(((F22*(H22-(0.016*2)))*2)/15)*COSTE!$G$4</f>
        <v/>
      </c>
      <c r="Z22" s="126">
        <f>((F22+1)*(((0.08*G22)*2)+((H22-(0.016*4))*G22)))*COSTE!$G$20</f>
        <v/>
      </c>
      <c r="AA22" s="126">
        <f>(((F22+1)*(((0.08*G22)*2)+((H22-(0.016*4))*G22)))/15)*COSTE!$G$4</f>
        <v/>
      </c>
      <c r="AB22" s="126">
        <f>(((F22+1)*(((0.08*G22)*2)+((H22-(0.016*4))*G22)))/7.5)*COSTE!$G$4</f>
        <v/>
      </c>
      <c r="AC22" s="126">
        <f>(((F22*G22)+F22)*0.027)*COSTE!$G$25</f>
        <v/>
      </c>
      <c r="AD22" s="126">
        <f>(((F22*G22)+F22)*0.027)*COSTE!J27</f>
        <v/>
      </c>
      <c r="AE22" s="126">
        <f>(F22*COSTE!$G$20)/3</f>
        <v/>
      </c>
      <c r="AF22" s="126">
        <f>(I22/30)*COSTE!$G$5</f>
        <v/>
      </c>
      <c r="AG22" s="126">
        <f>ROUNDUP(I22/35,0)*((COSTE!$G$20/3)+(COSTE!$G$45*1)+(COSTE!$G$4/6)+(0.5))</f>
        <v/>
      </c>
      <c r="AH22" s="126">
        <f>I22*0.1</f>
        <v/>
      </c>
      <c r="AI22" s="112" t="n"/>
    </row>
    <row r="23">
      <c r="A23" s="1" t="inlineStr">
        <is>
          <t>Muro</t>
        </is>
      </c>
      <c r="B23" s="1" t="inlineStr">
        <is>
          <t>Paredes</t>
        </is>
      </c>
      <c r="C23" s="1" t="inlineStr">
        <is>
          <t>Melamina Especial / Chopo</t>
        </is>
      </c>
      <c r="D23" s="2" t="inlineStr">
        <is>
          <t>2 Cara (Grosor Estandar 0,1m/ Altura 2,75m)</t>
        </is>
      </c>
      <c r="E23" s="20" t="inlineStr">
        <is>
          <t>*El grosor se pone en el excel</t>
        </is>
      </c>
      <c r="F23" s="119" t="n">
        <v>0</v>
      </c>
      <c r="G23" s="119" t="n">
        <v>0</v>
      </c>
      <c r="H23" s="119" t="n">
        <v>0</v>
      </c>
      <c r="I23" s="5">
        <f>F23*G23</f>
        <v/>
      </c>
      <c r="J23" s="6" t="n">
        <v>0</v>
      </c>
      <c r="K23" s="187" t="n">
        <v>36</v>
      </c>
      <c r="L23" s="188">
        <f>IFERROR(ROUNDUP((Q23/I23)/0.5,0)*0.5,0)</f>
        <v/>
      </c>
      <c r="M23" s="5">
        <f>IF(I23=0,J23*K23,I23*J23*K23)</f>
        <v/>
      </c>
      <c r="N23" s="38">
        <f>$N$46</f>
        <v/>
      </c>
      <c r="O23" s="39">
        <f>SUM(M23*N23)+M23</f>
        <v/>
      </c>
      <c r="P23" s="5">
        <f>SUM(O23-M23)</f>
        <v/>
      </c>
      <c r="Q23" s="19">
        <f>R23+S23</f>
        <v/>
      </c>
      <c r="R23" s="127">
        <f>J23*(MAX(1,ROUNDUP(I23/20,0)*5)*COSTE!$G$3)</f>
        <v/>
      </c>
      <c r="S23" s="126">
        <f>SUM(T23:AU23)</f>
        <v/>
      </c>
      <c r="T23" s="126">
        <f> (((F23*G23) + ((H23*G23)*2))*2)*COSTE!$G$17</f>
        <v/>
      </c>
      <c r="U23" s="123">
        <f> (((F23*G23) + ((H23*G23)*2))*2)*COSTE!$J$17</f>
        <v/>
      </c>
      <c r="V23" s="125">
        <f> (((F23*G23) + ((H23*G23)*2))*2)*COSTE!$L$17</f>
        <v/>
      </c>
      <c r="W23" s="126">
        <f>T23*20%</f>
        <v/>
      </c>
      <c r="X23" s="126">
        <f>(((F23*(H23-(0.016*2)))*2)*COSTE!$G$20)/3</f>
        <v/>
      </c>
      <c r="Y23" s="123">
        <f>(((F23*(H23-(0.016*2)))*2)/15)*COSTE!$G$4</f>
        <v/>
      </c>
      <c r="Z23" s="126">
        <f>((F23+1)*(((0.08*G23)*2)+((H23-(0.016*4))*G23)))*COSTE!$G$20</f>
        <v/>
      </c>
      <c r="AA23" s="126">
        <f>(((F23+1)*(((0.08*G23)*2)+((H23-(0.016*4))*G23)))/15)*COSTE!$G$4</f>
        <v/>
      </c>
      <c r="AB23" s="126">
        <f>(((F23+1)*(((0.08*G23)*2)+((H23-(0.016*4))*G23)))/7.5)*COSTE!$G$4</f>
        <v/>
      </c>
      <c r="AC23" s="126">
        <f>(((F23*G23)+F23)*0.027)*COSTE!$G$25</f>
        <v/>
      </c>
      <c r="AD23" s="126">
        <f>(((F23*G23)+F23)*0.027)*COSTE!J28</f>
        <v/>
      </c>
      <c r="AE23" s="126">
        <f>(F23*COSTE!$G$20)/3</f>
        <v/>
      </c>
      <c r="AF23" s="126">
        <f>(I23/30)*COSTE!$G$5</f>
        <v/>
      </c>
      <c r="AG23" s="126">
        <f>ROUNDUP(I23/35,0)*((COSTE!$G$20/3)+(COSTE!$G$45*1)+(COSTE!$G$4/6)+(0.5))</f>
        <v/>
      </c>
      <c r="AH23" s="126">
        <f>I23*0.1</f>
        <v/>
      </c>
      <c r="AI23" s="112" t="n"/>
    </row>
    <row r="24">
      <c r="A24" s="104" t="inlineStr">
        <is>
          <t>FAMILIA</t>
        </is>
      </c>
      <c r="B24" s="104" t="inlineStr">
        <is>
          <t>SUB F.</t>
        </is>
      </c>
      <c r="C24" s="104" t="inlineStr">
        <is>
          <t>MATERIAL</t>
        </is>
      </c>
      <c r="D24" s="100" t="inlineStr">
        <is>
          <t>MURO - BMATRIX</t>
        </is>
      </c>
      <c r="E24" s="100" t="inlineStr">
        <is>
          <t>COMENTARIOS</t>
        </is>
      </c>
      <c r="F24" s="99" t="inlineStr">
        <is>
          <t>Largo</t>
        </is>
      </c>
      <c r="G24" s="99" t="inlineStr">
        <is>
          <t>Altura</t>
        </is>
      </c>
      <c r="H24" s="99" t="inlineStr">
        <is>
          <t>Grosor</t>
        </is>
      </c>
      <c r="I24" s="99" t="inlineStr">
        <is>
          <t>m2</t>
        </is>
      </c>
      <c r="J24" s="106" t="inlineStr">
        <is>
          <t>UDS</t>
        </is>
      </c>
      <c r="K24" s="101" t="inlineStr">
        <is>
          <t>€/m2</t>
        </is>
      </c>
      <c r="L24" s="142" t="inlineStr">
        <is>
          <t>€/m2 Real</t>
        </is>
      </c>
      <c r="M24" s="101" t="inlineStr">
        <is>
          <t>€/Empresa</t>
        </is>
      </c>
      <c r="N24" s="102" t="inlineStr">
        <is>
          <t>Markup %</t>
        </is>
      </c>
      <c r="O24" s="101" t="inlineStr">
        <is>
          <t>€ TOTAL</t>
        </is>
      </c>
      <c r="P24" s="101" t="inlineStr">
        <is>
          <t>BEN.EMP</t>
        </is>
      </c>
      <c r="Q24" s="122" t="inlineStr">
        <is>
          <t>COSTE TOT</t>
        </is>
      </c>
      <c r="R24" s="136" t="inlineStr">
        <is>
          <t>Diseño 20m2/6h)</t>
        </is>
      </c>
      <c r="S24" s="109" t="inlineStr">
        <is>
          <t xml:space="preserve">COSTE MAT </t>
        </is>
      </c>
      <c r="T24" s="113" t="inlineStr">
        <is>
          <t>Alquiler</t>
        </is>
      </c>
      <c r="U24" s="111" t="inlineStr">
        <is>
          <t>Logistica</t>
        </is>
      </c>
      <c r="V24" s="161" t="n"/>
      <c r="W24" s="161" t="n"/>
      <c r="X24" s="161" t="n"/>
      <c r="Y24" s="115" t="n"/>
      <c r="Z24" s="115" t="n"/>
      <c r="AA24" s="112" t="n"/>
      <c r="AB24" s="112" t="n"/>
      <c r="AC24" s="112" t="n"/>
      <c r="AD24" s="112" t="n"/>
      <c r="AE24" s="112" t="n"/>
      <c r="AF24" s="161" t="n"/>
      <c r="AG24" s="161" t="n"/>
      <c r="AH24" s="161" t="n"/>
      <c r="AI24" s="112" t="n"/>
    </row>
    <row r="25">
      <c r="A25" s="1" t="inlineStr">
        <is>
          <t>Muro</t>
        </is>
      </c>
      <c r="B25" s="1" t="inlineStr">
        <is>
          <t>Paredes</t>
        </is>
      </c>
      <c r="C25" s="1" t="inlineStr">
        <is>
          <t>Bmatrix</t>
        </is>
      </c>
      <c r="D25" s="2" t="inlineStr">
        <is>
          <t>Alquiler Muro Bmatrix</t>
        </is>
      </c>
      <c r="E25" s="20" t="inlineStr">
        <is>
          <t>*Modificar coste??</t>
        </is>
      </c>
      <c r="F25" s="119" t="n">
        <v>0</v>
      </c>
      <c r="G25" s="119" t="n">
        <v>0</v>
      </c>
      <c r="H25" s="119" t="n">
        <v>0</v>
      </c>
      <c r="I25" s="5">
        <f>F25*G25</f>
        <v/>
      </c>
      <c r="J25" s="6" t="n">
        <v>0</v>
      </c>
      <c r="K25" s="10" t="n">
        <v>50</v>
      </c>
      <c r="L25" s="188">
        <f>IFERROR(ROUNDUP((Q25/I25)/0.5,0)*0.5,0)</f>
        <v/>
      </c>
      <c r="M25" s="5">
        <f>IF(I25=0,J25*K25,I25*J25*K25)</f>
        <v/>
      </c>
      <c r="N25" s="38">
        <f>$N$46</f>
        <v/>
      </c>
      <c r="O25" s="39">
        <f>SUM(M25*N25)+M25</f>
        <v/>
      </c>
      <c r="P25" s="5">
        <f>SUM(O25-M25)</f>
        <v/>
      </c>
      <c r="Q25" s="19">
        <f>R25+S25</f>
        <v/>
      </c>
      <c r="R25" s="127">
        <f>J25*(MAX(1,ROUNDUP(I25/20,0)*6)*COSTE!$G$3)</f>
        <v/>
      </c>
      <c r="S25" s="126">
        <f>SUM(T25:AU25)</f>
        <v/>
      </c>
      <c r="T25" s="126">
        <f>(F25*G25)*COSTE!G64</f>
        <v/>
      </c>
      <c r="U25" s="123">
        <f>IF(J25=0,0,3*COSTE!G5)</f>
        <v/>
      </c>
      <c r="V25" s="115" t="n"/>
      <c r="W25" s="112" t="n"/>
      <c r="X25" s="112" t="n"/>
      <c r="Y25" s="169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</row>
    <row r="26">
      <c r="A26" s="104" t="inlineStr">
        <is>
          <t>FAMILIA</t>
        </is>
      </c>
      <c r="B26" s="104" t="inlineStr">
        <is>
          <t>SUB F.</t>
        </is>
      </c>
      <c r="C26" s="104" t="inlineStr">
        <is>
          <t>MATERIAL</t>
        </is>
      </c>
      <c r="D26" s="100" t="inlineStr">
        <is>
          <t>MURO - PUERTA</t>
        </is>
      </c>
      <c r="E26" s="100" t="inlineStr">
        <is>
          <t>COMENTARIOS</t>
        </is>
      </c>
      <c r="F26" s="99" t="n"/>
      <c r="G26" s="99" t="n"/>
      <c r="H26" s="99" t="n"/>
      <c r="I26" s="99" t="n"/>
      <c r="J26" s="106" t="inlineStr">
        <is>
          <t>UDS</t>
        </is>
      </c>
      <c r="K26" s="101" t="inlineStr">
        <is>
          <t>€/Uni</t>
        </is>
      </c>
      <c r="L26" s="142" t="inlineStr">
        <is>
          <t>€/Uni Real</t>
        </is>
      </c>
      <c r="M26" s="101" t="inlineStr">
        <is>
          <t>€/Empresa</t>
        </is>
      </c>
      <c r="N26" s="102" t="inlineStr">
        <is>
          <t>Markup %</t>
        </is>
      </c>
      <c r="O26" s="101" t="inlineStr">
        <is>
          <t>€ TOTAL</t>
        </is>
      </c>
      <c r="P26" s="101" t="inlineStr">
        <is>
          <t>BEN.EMP</t>
        </is>
      </c>
      <c r="Q26" s="122" t="inlineStr">
        <is>
          <t>COSTE TOT</t>
        </is>
      </c>
      <c r="R26" s="136" t="inlineStr">
        <is>
          <t>Diseño (1h x 1uni)</t>
        </is>
      </c>
      <c r="S26" s="109" t="inlineStr">
        <is>
          <t xml:space="preserve">COSTE MAT </t>
        </is>
      </c>
      <c r="T26" s="113" t="inlineStr">
        <is>
          <t>Puerta (/3)</t>
        </is>
      </c>
      <c r="U26" s="111" t="inlineStr">
        <is>
          <t>(2h) Compra</t>
        </is>
      </c>
      <c r="V26" s="113" t="inlineStr">
        <is>
          <t>Alquiler Maneta (/5)</t>
        </is>
      </c>
      <c r="W26" s="111" t="inlineStr">
        <is>
          <t>Palet</t>
        </is>
      </c>
      <c r="X26" s="113" t="inlineStr">
        <is>
          <t>(4 uni/h) T. Paletizacion</t>
        </is>
      </c>
      <c r="Y26" s="116" t="inlineStr">
        <is>
          <t xml:space="preserve">Material </t>
        </is>
      </c>
      <c r="Z26" s="117" t="inlineStr">
        <is>
          <t>6h/uni Fabricacion</t>
        </is>
      </c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</row>
    <row r="27">
      <c r="A27" s="1" t="inlineStr">
        <is>
          <t>Muro</t>
        </is>
      </c>
      <c r="B27" s="1" t="inlineStr">
        <is>
          <t>Puerta</t>
        </is>
      </c>
      <c r="C27" s="1" t="inlineStr">
        <is>
          <t>Pintar</t>
        </is>
      </c>
      <c r="D27" s="2" t="inlineStr">
        <is>
          <t>Puerta + Maneta Codigo</t>
        </is>
      </c>
      <c r="E27" s="17" t="n"/>
      <c r="F27" s="26" t="n"/>
      <c r="G27" s="26" t="n"/>
      <c r="H27" s="26" t="n"/>
      <c r="I27" s="27" t="n"/>
      <c r="J27" s="6" t="n">
        <v>0</v>
      </c>
      <c r="K27" s="19" t="n">
        <v>85</v>
      </c>
      <c r="L27" s="188">
        <f>IFERROR(ROUNDUP((Q27/J27)/0.5,0)*0.5,0)</f>
        <v/>
      </c>
      <c r="M27" s="19">
        <f>IF(J27=0,J27*K27,J27*K27)</f>
        <v/>
      </c>
      <c r="N27" s="38">
        <f>$N$46</f>
        <v/>
      </c>
      <c r="O27" s="39">
        <f>SUM(M27*N27)+M27</f>
        <v/>
      </c>
      <c r="P27" s="5">
        <f>SUM(O27-M27)</f>
        <v/>
      </c>
      <c r="Q27" s="19">
        <f>R27+S27</f>
        <v/>
      </c>
      <c r="R27" s="127">
        <f>J27*(MAX(1,ROUNDUP(J27/1,0)*1)*COSTE!$G$3)</f>
        <v/>
      </c>
      <c r="S27" s="126">
        <f>SUM(T27:AU27)</f>
        <v/>
      </c>
      <c r="T27" s="126">
        <f>J27*(54/3)</f>
        <v/>
      </c>
      <c r="U27" s="126">
        <f>J27*((COSTE!$G$4*2)/3)</f>
        <v/>
      </c>
      <c r="V27" s="126">
        <f>J27*(131/5)</f>
        <v/>
      </c>
      <c r="W27" s="126">
        <f>IF(J27=0,0,(((COSTE!$G$20/3)+(COSTE!$G$45*1)+(COSTE!$G$4/6)+(0.5)))/2)</f>
        <v/>
      </c>
      <c r="X27" s="126">
        <f>(J27/4)*COSTE!$G$5</f>
        <v/>
      </c>
      <c r="Y27" s="115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</row>
    <row r="28">
      <c r="A28" s="1" t="inlineStr">
        <is>
          <t>Muro</t>
        </is>
      </c>
      <c r="B28" s="1" t="inlineStr">
        <is>
          <t>Puerta</t>
        </is>
      </c>
      <c r="C28" s="1" t="inlineStr">
        <is>
          <t>Pintar</t>
        </is>
      </c>
      <c r="D28" s="2" t="inlineStr">
        <is>
          <t>Puerta + Maneta Normal</t>
        </is>
      </c>
      <c r="E28" s="17" t="n"/>
      <c r="F28" s="26" t="n"/>
      <c r="G28" s="26" t="n"/>
      <c r="H28" s="26" t="n"/>
      <c r="I28" s="27" t="n"/>
      <c r="J28" s="6" t="n">
        <v>0</v>
      </c>
      <c r="K28" s="19" t="n">
        <v>65</v>
      </c>
      <c r="L28" s="188">
        <f>IFERROR(ROUNDUP((Q28/J28)/0.5,0)*0.5,0)</f>
        <v/>
      </c>
      <c r="M28" s="19">
        <f>IF(J28=0,J28*K28,J28*K28)</f>
        <v/>
      </c>
      <c r="N28" s="38">
        <f>$N$46</f>
        <v/>
      </c>
      <c r="O28" s="39">
        <f>SUM(M28*N28)+M28</f>
        <v/>
      </c>
      <c r="P28" s="5">
        <f>SUM(O28-M28)</f>
        <v/>
      </c>
      <c r="Q28" s="19">
        <f>R28+S28</f>
        <v/>
      </c>
      <c r="R28" s="127">
        <f>J28*(MAX(1,ROUNDUP(J28/1,0)*1)*COSTE!$G$3)</f>
        <v/>
      </c>
      <c r="S28" s="126">
        <f>SUM(T28:AU28)</f>
        <v/>
      </c>
      <c r="T28" s="126">
        <f>J28*(54/3)</f>
        <v/>
      </c>
      <c r="U28" s="126">
        <f>J28*((COSTE!$G$4*2)/3)</f>
        <v/>
      </c>
      <c r="V28" s="126">
        <f>J28*(10/5)</f>
        <v/>
      </c>
      <c r="W28" s="126">
        <f>IF(J28=0,0,(((COSTE!$G$20/3)+(COSTE!$G$45*1)+(COSTE!$G$4/6)+(0.5)))/2)</f>
        <v/>
      </c>
      <c r="X28" s="126">
        <f>(J28/4)*COSTE!$G$5</f>
        <v/>
      </c>
      <c r="Y28" s="112" t="n"/>
      <c r="Z28" s="112" t="n"/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</row>
    <row r="29">
      <c r="A29" s="1" t="inlineStr">
        <is>
          <t>Muro</t>
        </is>
      </c>
      <c r="B29" s="1" t="inlineStr">
        <is>
          <t>Puerta</t>
        </is>
      </c>
      <c r="C29" s="1" t="inlineStr">
        <is>
          <t>Blanco Lacado</t>
        </is>
      </c>
      <c r="D29" s="2" t="inlineStr">
        <is>
          <t>Puerta Melamina 1 cara + Maneta Codigo</t>
        </is>
      </c>
      <c r="E29" s="17" t="n"/>
      <c r="F29" s="26" t="n"/>
      <c r="G29" s="26" t="n"/>
      <c r="H29" s="26" t="n"/>
      <c r="I29" s="27" t="n"/>
      <c r="J29" s="6" t="n">
        <v>0</v>
      </c>
      <c r="K29" s="19" t="n">
        <v>300</v>
      </c>
      <c r="L29" s="188">
        <f>IFERROR(ROUNDUP((Q29/J29)/0.5,0)*0.5,0)</f>
        <v/>
      </c>
      <c r="M29" s="19">
        <f>IF(J29=0,J29*K29,J29*K29)</f>
        <v/>
      </c>
      <c r="N29" s="38">
        <f>$N$46</f>
        <v/>
      </c>
      <c r="O29" s="39">
        <f>SUM(M29*N29)+M29</f>
        <v/>
      </c>
      <c r="P29" s="19">
        <f>SUM(O29-M29)</f>
        <v/>
      </c>
      <c r="Q29" s="19">
        <f>R29+S29</f>
        <v/>
      </c>
      <c r="R29" s="127">
        <f>J29*(MAX(1,ROUNDUP(J29/1,0)*1)*COSTE!$G$3)</f>
        <v/>
      </c>
      <c r="S29" s="126">
        <f>SUM(T29:AU29)</f>
        <v/>
      </c>
      <c r="T29" s="126">
        <f>J29*(210/3)</f>
        <v/>
      </c>
      <c r="U29" s="126">
        <f>J29*((COSTE!$G$4*2)/3)</f>
        <v/>
      </c>
      <c r="V29" s="126">
        <f>(131/5)*J29</f>
        <v/>
      </c>
      <c r="W29" s="126">
        <f>IF(J29=0,0,(((COSTE!$G$20/3)+(COSTE!$G$45*1)+(COSTE!$G$4/6)+(0.5)))/2)</f>
        <v/>
      </c>
      <c r="X29" s="126">
        <f>(J29/4)*COSTE!$G$5</f>
        <v/>
      </c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</row>
    <row r="30">
      <c r="A30" s="1" t="inlineStr">
        <is>
          <t>Muro</t>
        </is>
      </c>
      <c r="B30" s="1" t="inlineStr">
        <is>
          <t>Puerta</t>
        </is>
      </c>
      <c r="C30" s="1" t="inlineStr">
        <is>
          <t>Blanco Lacado</t>
        </is>
      </c>
      <c r="D30" s="2" t="inlineStr">
        <is>
          <t>Puerta Melamina 1 cara + Maneta Normal</t>
        </is>
      </c>
      <c r="E30" s="17" t="n"/>
      <c r="F30" s="26" t="n"/>
      <c r="G30" s="26" t="n"/>
      <c r="H30" s="26" t="n"/>
      <c r="I30" s="27" t="n"/>
      <c r="J30" s="6" t="n">
        <v>0</v>
      </c>
      <c r="K30" s="19" t="n">
        <v>300</v>
      </c>
      <c r="L30" s="188">
        <f>IFERROR(ROUNDUP((Q30/J30)/0.5,0)*0.5,0)</f>
        <v/>
      </c>
      <c r="M30" s="19">
        <f>IF(J30=0,J30*K30,J30*K30)</f>
        <v/>
      </c>
      <c r="N30" s="38">
        <f>$N$46</f>
        <v/>
      </c>
      <c r="O30" s="39">
        <f>SUM(M30*N30)+M30</f>
        <v/>
      </c>
      <c r="P30" s="19">
        <f>SUM(O30-M30)</f>
        <v/>
      </c>
      <c r="Q30" s="19">
        <f>R30+S30</f>
        <v/>
      </c>
      <c r="R30" s="127">
        <f>J30*(MAX(1,ROUNDUP(J30/1,0)*1)*COSTE!$G$3)</f>
        <v/>
      </c>
      <c r="S30" s="126">
        <f>SUM(T30:AU30)</f>
        <v/>
      </c>
      <c r="T30" s="126">
        <f>J30*(210/3)</f>
        <v/>
      </c>
      <c r="U30" s="126">
        <f>J30*((COSTE!$G$4*2)/3)</f>
        <v/>
      </c>
      <c r="V30" s="126">
        <f>J30*(10/5)</f>
        <v/>
      </c>
      <c r="W30" s="126">
        <f>IF(J30=0,0,(((COSTE!$G$20/3)+(COSTE!$G$45*1)+(COSTE!$G$4/6)+(0.5)))/2)</f>
        <v/>
      </c>
      <c r="X30" s="126">
        <f>(J30/4)*COSTE!$G$5</f>
        <v/>
      </c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</row>
    <row r="31">
      <c r="A31" s="1" t="inlineStr">
        <is>
          <t>Muro</t>
        </is>
      </c>
      <c r="B31" s="1" t="inlineStr">
        <is>
          <t>Puerta</t>
        </is>
      </c>
      <c r="C31" s="1" t="inlineStr">
        <is>
          <t>Chopo</t>
        </is>
      </c>
      <c r="D31" s="2" t="inlineStr">
        <is>
          <t>Puerta para Pintar a Medida + Maneta Codigo</t>
        </is>
      </c>
      <c r="E31" s="4" t="inlineStr">
        <is>
          <t>*New</t>
        </is>
      </c>
      <c r="F31" s="26" t="n"/>
      <c r="G31" s="26" t="n"/>
      <c r="H31" s="26" t="n"/>
      <c r="I31" s="27" t="n"/>
      <c r="J31" s="6" t="n">
        <v>0</v>
      </c>
      <c r="K31" s="10" t="n">
        <v>257</v>
      </c>
      <c r="L31" s="188">
        <f>IFERROR(ROUNDUP((Q31/J31)/0.5,0)*0.5,0)</f>
        <v/>
      </c>
      <c r="M31" s="19">
        <f>IF(J31=0,J31*K31,J31*K31)</f>
        <v/>
      </c>
      <c r="N31" s="38">
        <f>$N$46</f>
        <v/>
      </c>
      <c r="O31" s="39">
        <f>SUM(M31*N31)+M31</f>
        <v/>
      </c>
      <c r="P31" s="19">
        <f>SUM(O31-M31)</f>
        <v/>
      </c>
      <c r="Q31" s="19">
        <f>R31+S31</f>
        <v/>
      </c>
      <c r="R31" s="127">
        <f>J31*(MAX(1,ROUNDUP(J31/1,0)*1)*COSTE!$G$3)</f>
        <v/>
      </c>
      <c r="S31" s="126">
        <f>SUM(T31:AU31)</f>
        <v/>
      </c>
      <c r="T31" s="112" t="n"/>
      <c r="U31" s="112" t="n"/>
      <c r="V31" s="126">
        <f>J31*(131/5)</f>
        <v/>
      </c>
      <c r="W31" s="126">
        <f>IF(J31=0,0,(((COSTE!$G$20/3)+(COSTE!$G$45*1)+(COSTE!$G$4/6)+(0.5)))/2)</f>
        <v/>
      </c>
      <c r="X31" s="126">
        <f>(J31/4)*COSTE!$G$5</f>
        <v/>
      </c>
      <c r="Y31" s="126">
        <f>J31*((COSTE!$G$41*10)+(COSTE!$G$43*5)+(COSTE!$G$30 *1)+(COSTE!$G$34)+ 20)</f>
        <v/>
      </c>
      <c r="Z31" s="126">
        <f>(6*COSTE!$G$4)*J31</f>
        <v/>
      </c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</row>
    <row r="32">
      <c r="A32" s="1" t="inlineStr">
        <is>
          <t>Muro</t>
        </is>
      </c>
      <c r="B32" s="1" t="inlineStr">
        <is>
          <t>Puerta</t>
        </is>
      </c>
      <c r="C32" s="1" t="inlineStr">
        <is>
          <t>Chopo</t>
        </is>
      </c>
      <c r="D32" s="2" t="inlineStr">
        <is>
          <t>Puerta para Pintar a Medida + Maneta Normal</t>
        </is>
      </c>
      <c r="E32" s="4" t="inlineStr">
        <is>
          <t>*New</t>
        </is>
      </c>
      <c r="F32" s="26" t="n"/>
      <c r="G32" s="26" t="n"/>
      <c r="H32" s="26" t="n"/>
      <c r="I32" s="27" t="n"/>
      <c r="J32" s="6" t="n">
        <v>0</v>
      </c>
      <c r="K32" s="10" t="n">
        <v>233</v>
      </c>
      <c r="L32" s="188">
        <f>IFERROR(ROUNDUP((Q32/J32)/0.5,0)*0.5,0)</f>
        <v/>
      </c>
      <c r="M32" s="19">
        <f>IF(J32=0,J32*K32,J32*K32)</f>
        <v/>
      </c>
      <c r="N32" s="38">
        <f>$N$46</f>
        <v/>
      </c>
      <c r="O32" s="39">
        <f>SUM(M32*N32)+M32</f>
        <v/>
      </c>
      <c r="P32" s="19">
        <f>SUM(O32-M32)</f>
        <v/>
      </c>
      <c r="Q32" s="19">
        <f>R32+S32</f>
        <v/>
      </c>
      <c r="R32" s="127">
        <f>J32*(MAX(1,ROUNDUP(J32/1,0)*1)*COSTE!$G$3)</f>
        <v/>
      </c>
      <c r="S32" s="126">
        <f>SUM(T32:AU32)</f>
        <v/>
      </c>
      <c r="T32" s="112" t="n"/>
      <c r="U32" s="112" t="n"/>
      <c r="V32" s="126">
        <f>J32*(10/5)</f>
        <v/>
      </c>
      <c r="W32" s="126">
        <f>IF(J32=0,0,(((COSTE!$G$20/3)+(COSTE!$G$45*1)+(COSTE!$G$4/6)+(0.5)))/2)</f>
        <v/>
      </c>
      <c r="X32" s="126">
        <f>(J32/4)*COSTE!$G$5</f>
        <v/>
      </c>
      <c r="Y32" s="126">
        <f>J32*((COSTE!$G$41*10)+(COSTE!$G$43*5)+(COSTE!$G$30 *1)+(COSTE!$G$34)+ 20)</f>
        <v/>
      </c>
      <c r="Z32" s="126">
        <f>(6*COSTE!$G$4)*J32</f>
        <v/>
      </c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</row>
    <row r="33">
      <c r="A33" s="1" t="inlineStr">
        <is>
          <t>Muro</t>
        </is>
      </c>
      <c r="B33" s="1" t="inlineStr">
        <is>
          <t>Puerta</t>
        </is>
      </c>
      <c r="C33" s="1" t="inlineStr">
        <is>
          <t>Melamina</t>
        </is>
      </c>
      <c r="D33" s="2" t="inlineStr">
        <is>
          <t>Puerta Melamina a Medida + Maneta Codigo</t>
        </is>
      </c>
      <c r="E33" s="4" t="inlineStr">
        <is>
          <t>*New</t>
        </is>
      </c>
      <c r="F33" s="26" t="n"/>
      <c r="G33" s="26" t="n"/>
      <c r="H33" s="26" t="n"/>
      <c r="I33" s="27" t="n"/>
      <c r="J33" s="6" t="n">
        <v>0</v>
      </c>
      <c r="K33" s="10" t="n">
        <v>251</v>
      </c>
      <c r="L33" s="188">
        <f>IFERROR(ROUNDUP((Q33/J33)/0.5,0)*0.5,0)</f>
        <v/>
      </c>
      <c r="M33" s="19">
        <f>IF(J33=0,J33*K33,J33*K33)</f>
        <v/>
      </c>
      <c r="N33" s="38">
        <f>$N$46</f>
        <v/>
      </c>
      <c r="O33" s="39">
        <f>SUM(M33*N33)+M33</f>
        <v/>
      </c>
      <c r="P33" s="19">
        <f>SUM(O33-M33)</f>
        <v/>
      </c>
      <c r="Q33" s="19">
        <f>R33+S33</f>
        <v/>
      </c>
      <c r="R33" s="127">
        <f>J33*(MAX(1,ROUNDUP(J33/1,0)*1)*COSTE!$G$3)</f>
        <v/>
      </c>
      <c r="S33" s="126">
        <f>SUM(T33:AU33)</f>
        <v/>
      </c>
      <c r="T33" s="112" t="n"/>
      <c r="U33" s="112" t="n"/>
      <c r="V33" s="126">
        <f>J33*(131/5)</f>
        <v/>
      </c>
      <c r="W33" s="126">
        <f>IF(J33=0,0,(((COSTE!$G$20/3)+(COSTE!$G$45*1)+(COSTE!$G$4/6)+(0.5)))/2)</f>
        <v/>
      </c>
      <c r="X33" s="126">
        <f>(J33/4)*COSTE!$G$5</f>
        <v/>
      </c>
      <c r="Y33" s="126">
        <f>J33*((COSTE!$G$41*10)+(COSTE!$G$43*5)+(COSTE!$G$30 *1)+(COSTE!$G$34)+ 20)</f>
        <v/>
      </c>
      <c r="Z33" s="126">
        <f>(6*COSTE!$G$4)*J33</f>
        <v/>
      </c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</row>
    <row r="34">
      <c r="A34" s="1" t="inlineStr">
        <is>
          <t>Muro</t>
        </is>
      </c>
      <c r="B34" s="1" t="inlineStr">
        <is>
          <t>Puerta</t>
        </is>
      </c>
      <c r="C34" s="1" t="inlineStr">
        <is>
          <t>Melamina</t>
        </is>
      </c>
      <c r="D34" s="2" t="inlineStr">
        <is>
          <t>Puerta Melamina a Medida + Maneta Normal</t>
        </is>
      </c>
      <c r="E34" s="4" t="inlineStr">
        <is>
          <t>*New</t>
        </is>
      </c>
      <c r="F34" s="26" t="n"/>
      <c r="G34" s="26" t="n"/>
      <c r="H34" s="26" t="n"/>
      <c r="I34" s="27" t="n"/>
      <c r="J34" s="6" t="n">
        <v>0</v>
      </c>
      <c r="K34" s="10" t="n">
        <v>227</v>
      </c>
      <c r="L34" s="188">
        <f>IFERROR(ROUNDUP((Q34/J34)/0.5,0)*0.5,0)</f>
        <v/>
      </c>
      <c r="M34" s="19">
        <f>IF(J34=0,J34*K34,J34*K34)</f>
        <v/>
      </c>
      <c r="N34" s="38">
        <f>$N$46</f>
        <v/>
      </c>
      <c r="O34" s="39">
        <f>SUM(M34*N34)+M34</f>
        <v/>
      </c>
      <c r="P34" s="19">
        <f>SUM(O34-M34)</f>
        <v/>
      </c>
      <c r="Q34" s="19">
        <f>R34+S34</f>
        <v/>
      </c>
      <c r="R34" s="127">
        <f>J34*(MAX(1,ROUNDUP(J34/1,0)*1)*COSTE!$G$3)</f>
        <v/>
      </c>
      <c r="S34" s="126">
        <f>SUM(T34:AU34)</f>
        <v/>
      </c>
      <c r="T34" s="112" t="n"/>
      <c r="U34" s="112" t="n"/>
      <c r="V34" s="126">
        <f>J34*(10/5)</f>
        <v/>
      </c>
      <c r="W34" s="126">
        <f>IF(J34=0,0,(((COSTE!$G$20/3)+(COSTE!$G$45*1)+(COSTE!$G$4/6)+(0.5)))/2)</f>
        <v/>
      </c>
      <c r="X34" s="126">
        <f>(J34/4)*COSTE!$G$5</f>
        <v/>
      </c>
      <c r="Y34" s="126">
        <f>J34*((COSTE!$G$41*10)+(COSTE!$G$43*5)+(COSTE!$G$30 *1)+(COSTE!$G$34)+ 20)</f>
        <v/>
      </c>
      <c r="Z34" s="126">
        <f>(6*COSTE!$G$4)*J34</f>
        <v/>
      </c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</row>
    <row r="35">
      <c r="A35" s="1" t="inlineStr">
        <is>
          <t>Muro</t>
        </is>
      </c>
      <c r="B35" s="1" t="inlineStr">
        <is>
          <t>Puerta</t>
        </is>
      </c>
      <c r="C35" s="1" t="inlineStr">
        <is>
          <t>Cristal Alquiler</t>
        </is>
      </c>
      <c r="D35" s="2" t="inlineStr">
        <is>
          <t>Puerta (2,68m con Tarja) Alquiler</t>
        </is>
      </c>
      <c r="E35" s="17" t="n"/>
      <c r="F35" s="26" t="n"/>
      <c r="G35" s="26" t="n"/>
      <c r="H35" s="26" t="n"/>
      <c r="I35" s="27" t="n"/>
      <c r="J35" s="6" t="n">
        <v>0</v>
      </c>
      <c r="K35" s="19" t="n">
        <v>209</v>
      </c>
      <c r="L35" s="188">
        <f>IFERROR(ROUNDUP((Q35/J35)/0.5,0)*0.5,0)</f>
        <v/>
      </c>
      <c r="M35" s="19">
        <f>IF(J35=0,J35*K35,J35*K35)</f>
        <v/>
      </c>
      <c r="N35" s="38">
        <f>$N$46</f>
        <v/>
      </c>
      <c r="O35" s="39">
        <f>SUM(M35*N35)+M35</f>
        <v/>
      </c>
      <c r="P35" s="19">
        <f>SUM(O35-M35)</f>
        <v/>
      </c>
      <c r="Q35" s="19">
        <f>R35+S35</f>
        <v/>
      </c>
      <c r="R35" s="127">
        <f>J35*(MAX(1,ROUNDUP(J35/1,0)*1)*COSTE!$G$3)</f>
        <v/>
      </c>
      <c r="S35" s="126">
        <f>SUM(T35:AU35)</f>
        <v/>
      </c>
      <c r="T35" s="127">
        <f>(COSTE!G62/3)*J35</f>
        <v/>
      </c>
      <c r="U35" s="112" t="n"/>
      <c r="V35" s="127">
        <f>J35*((200+150+150)/5)</f>
        <v/>
      </c>
      <c r="W35" s="112" t="n"/>
      <c r="X35" s="126">
        <f>(J35/4)*COSTE!$G$5</f>
        <v/>
      </c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</row>
    <row r="36">
      <c r="A36" s="104" t="inlineStr">
        <is>
          <t>FAMILIA</t>
        </is>
      </c>
      <c r="B36" s="104" t="inlineStr">
        <is>
          <t>SUB F.</t>
        </is>
      </c>
      <c r="C36" s="104" t="inlineStr">
        <is>
          <t>MATERIAL</t>
        </is>
      </c>
      <c r="D36" s="100" t="inlineStr">
        <is>
          <t>MURO - CRISTALES</t>
        </is>
      </c>
      <c r="E36" s="100" t="inlineStr">
        <is>
          <t>COMENTARIOS</t>
        </is>
      </c>
      <c r="F36" s="99" t="inlineStr">
        <is>
          <t>Largo</t>
        </is>
      </c>
      <c r="G36" s="99" t="inlineStr">
        <is>
          <t>Altura</t>
        </is>
      </c>
      <c r="H36" s="99" t="n"/>
      <c r="I36" s="99" t="inlineStr">
        <is>
          <t>m2</t>
        </is>
      </c>
      <c r="J36" s="106" t="inlineStr">
        <is>
          <t>UDS</t>
        </is>
      </c>
      <c r="K36" s="101" t="inlineStr">
        <is>
          <t>€/m2</t>
        </is>
      </c>
      <c r="L36" s="142" t="inlineStr">
        <is>
          <t>€/Uni Real</t>
        </is>
      </c>
      <c r="M36" s="101" t="inlineStr">
        <is>
          <t>€/Empresa</t>
        </is>
      </c>
      <c r="N36" s="102" t="inlineStr">
        <is>
          <t>Markup %</t>
        </is>
      </c>
      <c r="O36" s="101" t="inlineStr">
        <is>
          <t>€ TOTAL</t>
        </is>
      </c>
      <c r="P36" s="101" t="inlineStr">
        <is>
          <t>BEN.EMP</t>
        </is>
      </c>
      <c r="Q36" s="122" t="inlineStr">
        <is>
          <t>COSTE TOT</t>
        </is>
      </c>
      <c r="R36" s="136" t="inlineStr">
        <is>
          <t>Diseño 20m2/5h)</t>
        </is>
      </c>
      <c r="S36" s="109" t="inlineStr">
        <is>
          <t xml:space="preserve">COSTE MAT </t>
        </is>
      </c>
      <c r="T36" s="116" t="inlineStr">
        <is>
          <t>Cristal</t>
        </is>
      </c>
      <c r="U36" s="113" t="inlineStr">
        <is>
          <t>Cristal (/5)</t>
        </is>
      </c>
      <c r="V36" s="110" t="inlineStr">
        <is>
          <t>(8m2/h) T. Paletizacion</t>
        </is>
      </c>
      <c r="W36" s="116" t="inlineStr">
        <is>
          <t xml:space="preserve"> Junquillos</t>
        </is>
      </c>
      <c r="X36" s="116" t="inlineStr">
        <is>
          <t>Canto</t>
        </is>
      </c>
      <c r="Y36" s="116" t="inlineStr">
        <is>
          <t xml:space="preserve">(20m2/h) Corte </t>
        </is>
      </c>
      <c r="Z36" s="116" t="inlineStr">
        <is>
          <t>(7m2/h) Cantear</t>
        </is>
      </c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</row>
    <row r="37">
      <c r="A37" s="1" t="inlineStr">
        <is>
          <t>Muro</t>
        </is>
      </c>
      <c r="B37" s="1" t="inlineStr">
        <is>
          <t>Paredes</t>
        </is>
      </c>
      <c r="C37" s="1" t="inlineStr">
        <is>
          <t>Cristal</t>
        </is>
      </c>
      <c r="D37" s="2" t="inlineStr">
        <is>
          <t>Semimuro Compra</t>
        </is>
      </c>
      <c r="E37" s="20" t="n"/>
      <c r="F37" s="119" t="n">
        <v>0</v>
      </c>
      <c r="G37" s="119" t="n">
        <v>0</v>
      </c>
      <c r="H37" s="26" t="n"/>
      <c r="I37" s="119">
        <f>F37*G37</f>
        <v/>
      </c>
      <c r="J37" s="6" t="n">
        <v>0</v>
      </c>
      <c r="K37" s="19" t="n">
        <v>70</v>
      </c>
      <c r="L37" s="188">
        <f>IFERROR(ROUNDUP((Q37/I37)/0.5,0)*0.5,0)</f>
        <v/>
      </c>
      <c r="M37" s="24">
        <f>IF(I37=0,J37*K37,I37*J37*K37)</f>
        <v/>
      </c>
      <c r="N37" s="38">
        <f>$N$46</f>
        <v/>
      </c>
      <c r="O37" s="39">
        <f>SUM(M37*N37)+M37</f>
        <v/>
      </c>
      <c r="P37" s="19">
        <f>SUM(O37-M37)</f>
        <v/>
      </c>
      <c r="Q37" s="19">
        <f>R37+S37</f>
        <v/>
      </c>
      <c r="R37" s="127">
        <f>J37*(MAX(1,ROUNDUP(I37/20,0)*5)*COSTE!$G$3)</f>
        <v/>
      </c>
      <c r="S37" s="126">
        <f>SUM(T37:AU37)</f>
        <v/>
      </c>
      <c r="T37" s="127">
        <f>((I37*6.49)+(I37*67.28)+(30))*J37</f>
        <v/>
      </c>
      <c r="U37" s="115" t="n"/>
      <c r="V37" s="126">
        <f>(I37/8)*COSTE!$G$5</f>
        <v/>
      </c>
      <c r="W37" s="125">
        <f>(((F37*0.04)*4) +((G37*0.04)*4))*COSTE!$G$13</f>
        <v/>
      </c>
      <c r="X37" s="125">
        <f>((F37*8)+(G37*8))*COSTE!$G$49</f>
        <v/>
      </c>
      <c r="Y37" s="123">
        <f>((((F37*0.04)*4) +((G37*0.04)*4))/20)*COSTE!$G$4</f>
        <v/>
      </c>
      <c r="Z37" s="126">
        <f>((((F37*0.04)*4) +((G37*0.04)*4))/7)*COSTE!$G$4</f>
        <v/>
      </c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</row>
    <row r="38">
      <c r="A38" s="1" t="inlineStr">
        <is>
          <t>Muro</t>
        </is>
      </c>
      <c r="B38" s="1" t="inlineStr">
        <is>
          <t>Paredes</t>
        </is>
      </c>
      <c r="C38" s="1" t="inlineStr">
        <is>
          <t>Cristal Alquiler</t>
        </is>
      </c>
      <c r="D38" s="2" t="inlineStr">
        <is>
          <t>Pared (2,68m Altura) Alquiler</t>
        </is>
      </c>
      <c r="E38" s="20" t="n"/>
      <c r="F38" s="119" t="n">
        <v>0</v>
      </c>
      <c r="G38" s="119" t="n">
        <v>0</v>
      </c>
      <c r="H38" s="26" t="n"/>
      <c r="I38" s="119">
        <f>F38*G38</f>
        <v/>
      </c>
      <c r="J38" s="6" t="n">
        <v>0</v>
      </c>
      <c r="K38" s="19" t="n">
        <v>25</v>
      </c>
      <c r="L38" s="188">
        <f>IFERROR(ROUNDUP((Q38/I38)/0.5,0)*0.5,0)</f>
        <v/>
      </c>
      <c r="M38" s="24">
        <f>IF(I38=0,J38*K38,I38*J38*K38)</f>
        <v/>
      </c>
      <c r="N38" s="38">
        <f>$N$46</f>
        <v/>
      </c>
      <c r="O38" s="39">
        <f>SUM(M38*N38)+M38</f>
        <v/>
      </c>
      <c r="P38" s="19">
        <f>SUM(O38-M38)</f>
        <v/>
      </c>
      <c r="Q38" s="19">
        <f>R38+S38</f>
        <v/>
      </c>
      <c r="R38" s="127">
        <f>J38*(MAX(1,ROUNDUP(I38/20,0)*5)*COSTE!$G$3)</f>
        <v/>
      </c>
      <c r="S38" s="126">
        <f>SUM(U38:AU38)</f>
        <v/>
      </c>
      <c r="T38" s="115" t="n"/>
      <c r="U38" s="127">
        <f>(((I38*6.49)+(I38*67.28)+(30))/5)*J38</f>
        <v/>
      </c>
      <c r="V38" s="126">
        <f>(I38/8)*COSTE!$G$5</f>
        <v/>
      </c>
      <c r="W38" s="125">
        <f>(((F38*0.04)*4) +((G38*0.04)*4))*COSTE!$G$13</f>
        <v/>
      </c>
      <c r="X38" s="125">
        <f>((F38*8)+(G38*8))*COSTE!$G$49</f>
        <v/>
      </c>
      <c r="Y38" s="123">
        <f>((((F38*0.04)*4) +((G38*0.04)*4))/20)*COSTE!$G$4</f>
        <v/>
      </c>
      <c r="Z38" s="126">
        <f>((((F38*0.04)*4) +((G38*0.04)*4))/7)*COSTE!$G$4</f>
        <v/>
      </c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</row>
    <row r="39">
      <c r="A39" s="104" t="inlineStr">
        <is>
          <t>FAMILIA</t>
        </is>
      </c>
      <c r="B39" s="104" t="inlineStr">
        <is>
          <t>SUB F.</t>
        </is>
      </c>
      <c r="C39" s="104" t="inlineStr">
        <is>
          <t>MATERIAL</t>
        </is>
      </c>
      <c r="D39" s="100" t="inlineStr">
        <is>
          <t>MURO - CURVAS / REGATA LED / AISLANTE MURO</t>
        </is>
      </c>
      <c r="E39" s="100" t="inlineStr">
        <is>
          <t>COMENTARIOS</t>
        </is>
      </c>
      <c r="F39" s="99" t="inlineStr">
        <is>
          <t>Ancho</t>
        </is>
      </c>
      <c r="G39" s="99" t="inlineStr">
        <is>
          <t>Fondo</t>
        </is>
      </c>
      <c r="H39" s="99" t="inlineStr">
        <is>
          <t>Altura</t>
        </is>
      </c>
      <c r="I39" s="101" t="inlineStr">
        <is>
          <t>ml / m2</t>
        </is>
      </c>
      <c r="J39" s="106" t="inlineStr">
        <is>
          <t>UDS</t>
        </is>
      </c>
      <c r="K39" s="101" t="inlineStr">
        <is>
          <t>€/ml m2</t>
        </is>
      </c>
      <c r="L39" s="142" t="inlineStr">
        <is>
          <t>€/Uni Real</t>
        </is>
      </c>
      <c r="M39" s="101" t="inlineStr">
        <is>
          <t>€/Empresa</t>
        </is>
      </c>
      <c r="N39" s="102" t="inlineStr">
        <is>
          <t>Markup %</t>
        </is>
      </c>
      <c r="O39" s="101" t="inlineStr">
        <is>
          <t>€ TOTAL</t>
        </is>
      </c>
      <c r="P39" s="101" t="inlineStr">
        <is>
          <t>BEN.EMP</t>
        </is>
      </c>
      <c r="Q39" s="122" t="inlineStr">
        <is>
          <t>COSTE TOT</t>
        </is>
      </c>
      <c r="R39" s="136" t="inlineStr">
        <is>
          <t xml:space="preserve">Diseño </t>
        </is>
      </c>
      <c r="S39" s="109" t="inlineStr">
        <is>
          <t xml:space="preserve">COSTE MAT </t>
        </is>
      </c>
      <c r="T39" s="114" t="inlineStr">
        <is>
          <t>(4 ml/h) T. Fabricación</t>
        </is>
      </c>
      <c r="U39" s="114" t="inlineStr">
        <is>
          <t>(2 ml/h) T. Fabricación</t>
        </is>
      </c>
      <c r="V39" s="117" t="inlineStr">
        <is>
          <t>Material</t>
        </is>
      </c>
      <c r="W39" s="111" t="inlineStr">
        <is>
          <t>(30m2/h) T. Paletizacion</t>
        </is>
      </c>
      <c r="X39" s="110" t="inlineStr">
        <is>
          <t>Palets</t>
        </is>
      </c>
      <c r="Y39" s="113" t="inlineStr">
        <is>
          <t>Tableros chopo</t>
        </is>
      </c>
      <c r="Z39" s="110" t="inlineStr">
        <is>
          <t xml:space="preserve">( 20m2/h)  Corte </t>
        </is>
      </c>
      <c r="AA39" s="110" t="inlineStr">
        <is>
          <t>Merma 20%</t>
        </is>
      </c>
      <c r="AB39" s="111" t="inlineStr">
        <is>
          <t>Estructura</t>
        </is>
      </c>
      <c r="AC39" s="111" t="inlineStr">
        <is>
          <t>Corte</t>
        </is>
      </c>
      <c r="AD39" s="116" t="inlineStr">
        <is>
          <t>Merma 20%</t>
        </is>
      </c>
      <c r="AE39" s="116" t="inlineStr">
        <is>
          <t>CNC</t>
        </is>
      </c>
      <c r="AF39" s="147" t="inlineStr">
        <is>
          <t>(2m2/h) T. Fabricación</t>
        </is>
      </c>
      <c r="AG39" s="111" t="inlineStr">
        <is>
          <t>(30m2/h) T. Paletizacion</t>
        </is>
      </c>
      <c r="AH39" s="110" t="inlineStr">
        <is>
          <t>Palets</t>
        </is>
      </c>
      <c r="AI39" s="111" t="inlineStr">
        <is>
          <t>Tornilleria</t>
        </is>
      </c>
    </row>
    <row r="40">
      <c r="A40" s="1" t="inlineStr">
        <is>
          <t>Muro</t>
        </is>
      </c>
      <c r="B40" s="1" t="inlineStr">
        <is>
          <t>Curvas</t>
        </is>
      </c>
      <c r="C40" s="1" t="inlineStr">
        <is>
          <t>Chopo</t>
        </is>
      </c>
      <c r="D40" s="2" t="inlineStr">
        <is>
          <t>Para Pintar Chopo 5mm a 1 caras (Minimo 1m2 por tira)</t>
        </is>
      </c>
      <c r="E40" s="17" t="n"/>
      <c r="F40" s="119" t="n">
        <v>0</v>
      </c>
      <c r="G40" s="119" t="n">
        <v>0</v>
      </c>
      <c r="H40" s="119" t="n">
        <v>0</v>
      </c>
      <c r="I40" s="5">
        <f>F40*G40</f>
        <v/>
      </c>
      <c r="J40" s="6" t="n">
        <v>0</v>
      </c>
      <c r="K40" s="5" t="n">
        <v>44</v>
      </c>
      <c r="L40" s="188">
        <f>IFERROR(ROUNDUP((Q40/I40)/0.5,0)*0.5,0)</f>
        <v/>
      </c>
      <c r="M40" s="5">
        <f>IF(I40=0,J40*K40,I40*J40*K40)</f>
        <v/>
      </c>
      <c r="N40" s="38">
        <f>$N$126</f>
        <v/>
      </c>
      <c r="O40" s="39">
        <f>SUM(M40*N40)+M40</f>
        <v/>
      </c>
      <c r="P40" s="5">
        <f>SUM(O40-M40)</f>
        <v/>
      </c>
      <c r="Q40" s="128">
        <f>R40+S40</f>
        <v/>
      </c>
      <c r="R40" s="127">
        <f>J40*(MAX(1,ROUNDUP(I40/2,0)*1)*COSTE!$G$3)</f>
        <v/>
      </c>
      <c r="S40" s="126">
        <f>SUM(T40:AU40)</f>
        <v/>
      </c>
      <c r="T40" s="112" t="n"/>
      <c r="U40" s="112" t="n"/>
      <c r="V40" s="112" t="n"/>
      <c r="W40" s="112" t="n"/>
      <c r="X40" s="112" t="n"/>
      <c r="Y40" s="126">
        <f>COSTE!$G$32*( (0.25*2*3.1415*F40)*H40)</f>
        <v/>
      </c>
      <c r="Z40" s="126">
        <f>(( (0.25*2*3.1415*F40)*H40)/20)*COSTE!$G$4</f>
        <v/>
      </c>
      <c r="AA40" s="126">
        <f>Y40*20%</f>
        <v/>
      </c>
      <c r="AB40" s="126">
        <f>COSTE!$G$20*((F40*G40)*H40)+((F40*H40)*((0.25*2*3.1415*F40)/0.5))</f>
        <v/>
      </c>
      <c r="AC40" s="126">
        <f>((F40*H40)*((0.25*2*3.1415*F40)*COSTE!$J$14))</f>
        <v/>
      </c>
      <c r="AD40" s="126">
        <f>AB40*20%</f>
        <v/>
      </c>
      <c r="AE40" s="126">
        <f>(((F40*G40)*H40)/5)*25</f>
        <v/>
      </c>
      <c r="AF40" s="126">
        <f>(I40/1)*COSTE!$G$4</f>
        <v/>
      </c>
      <c r="AG40" s="126">
        <f>(I40/30)*COSTE!$G$5</f>
        <v/>
      </c>
      <c r="AH40" s="126">
        <f>ROUNDUP(I40/35,0)*((COSTE!$G$20/3)+(COSTE!$G$45*1)+(COSTE!$G$4/6)+(0.5))</f>
        <v/>
      </c>
      <c r="AI40" s="126">
        <f>I40*0.1</f>
        <v/>
      </c>
    </row>
    <row r="41">
      <c r="A41" s="1" t="inlineStr">
        <is>
          <t>Muro</t>
        </is>
      </c>
      <c r="B41" s="1" t="inlineStr">
        <is>
          <t>Curvas</t>
        </is>
      </c>
      <c r="C41" s="1" t="inlineStr">
        <is>
          <t>Chopo</t>
        </is>
      </c>
      <c r="D41" s="2" t="inlineStr">
        <is>
          <t>Para Pintar Chopo 5mm a 2 caras (Minimo 1m2 por tira)</t>
        </is>
      </c>
      <c r="E41" s="17" t="n"/>
      <c r="F41" s="119" t="n">
        <v>0</v>
      </c>
      <c r="G41" s="119" t="n">
        <v>0</v>
      </c>
      <c r="H41" s="119" t="n">
        <v>0</v>
      </c>
      <c r="I41" s="5">
        <f>F41*G41</f>
        <v/>
      </c>
      <c r="J41" s="6" t="n">
        <v>0</v>
      </c>
      <c r="K41" s="5" t="n">
        <v>58</v>
      </c>
      <c r="L41" s="188">
        <f>IFERROR(ROUNDUP((Q41/I41)/0.5,0)*0.5,0)</f>
        <v/>
      </c>
      <c r="M41" s="5">
        <f>IF(I41=0,J41*K41,I41*J41*K41)</f>
        <v/>
      </c>
      <c r="N41" s="38">
        <f>$N$126</f>
        <v/>
      </c>
      <c r="O41" s="39">
        <f>SUM(M41*N41)+M41</f>
        <v/>
      </c>
      <c r="P41" s="5">
        <f>SUM(O41-M41)</f>
        <v/>
      </c>
      <c r="Q41" s="128">
        <f>R41+S41</f>
        <v/>
      </c>
      <c r="R41" s="127">
        <f>J41*(MAX(1,ROUNDUP(I41/2,0)*1)*COSTE!$G$3)</f>
        <v/>
      </c>
      <c r="S41" s="126">
        <f>SUM(T41:AU41)</f>
        <v/>
      </c>
      <c r="T41" s="112" t="n"/>
      <c r="U41" s="112" t="n"/>
      <c r="V41" s="112" t="n"/>
      <c r="W41" s="112" t="n"/>
      <c r="X41" s="112" t="n"/>
      <c r="Y41" s="126">
        <f>COSTE!$G$32*(( (0.25*2*3.1415*F41)*H41)*2)</f>
        <v/>
      </c>
      <c r="Z41" s="126">
        <f>(( ((0.25*2*3.1415*F41)*H41)*2)/20)*COSTE!$G$4</f>
        <v/>
      </c>
      <c r="AA41" s="126">
        <f>Y41*20%</f>
        <v/>
      </c>
      <c r="AB41" s="126">
        <f>COSTE!$G$20*((F41*G41)*H41)+((F41*H41)*((0.25*2*3.1415*F41)/0.5))</f>
        <v/>
      </c>
      <c r="AC41" s="126">
        <f>((F41*H41)*((0.25*2*3.1415*F41)*COSTE!$J$14))</f>
        <v/>
      </c>
      <c r="AD41" s="126">
        <f>AB41*20%</f>
        <v/>
      </c>
      <c r="AE41" s="126">
        <f>(((F41*G41)*H41)/5)*25</f>
        <v/>
      </c>
      <c r="AF41" s="126">
        <f>(I41/0.75)*COSTE!$G$4</f>
        <v/>
      </c>
      <c r="AG41" s="126">
        <f>(I41/30)*COSTE!$G$5</f>
        <v/>
      </c>
      <c r="AH41" s="126">
        <f>ROUNDUP(I41/35,0)*((COSTE!$G$20/3)+(COSTE!$G$45*1)+(COSTE!$G$4/6)+(0.5))</f>
        <v/>
      </c>
      <c r="AI41" s="126">
        <f>I41*0.1</f>
        <v/>
      </c>
    </row>
    <row r="42">
      <c r="A42" s="1" t="inlineStr">
        <is>
          <t>Muro</t>
        </is>
      </c>
      <c r="B42" s="1" t="inlineStr">
        <is>
          <t>Tapetas</t>
        </is>
      </c>
      <c r="C42" s="1" t="inlineStr">
        <is>
          <t>MDF</t>
        </is>
      </c>
      <c r="D42" s="2" t="inlineStr">
        <is>
          <t>5mm (Minimo 1m2 por tira)</t>
        </is>
      </c>
      <c r="E42" s="17" t="n"/>
      <c r="F42" s="119" t="n">
        <v>0</v>
      </c>
      <c r="G42" s="119" t="n">
        <v>0</v>
      </c>
      <c r="H42" s="105" t="n"/>
      <c r="I42" s="5">
        <f>F42*G42</f>
        <v/>
      </c>
      <c r="J42" s="6" t="n">
        <v>0</v>
      </c>
      <c r="K42" s="19" t="n">
        <v>5</v>
      </c>
      <c r="L42" s="188">
        <f>IFERROR(ROUNDUP((Q42/I42)/0.5,0)*0.5,0)</f>
        <v/>
      </c>
      <c r="M42" s="5">
        <f>IF(I42=0,J42*K42,I42*J42*K42)</f>
        <v/>
      </c>
      <c r="N42" s="38">
        <f>$N$64</f>
        <v/>
      </c>
      <c r="O42" s="39">
        <f>SUM(M42*N42)+M42</f>
        <v/>
      </c>
      <c r="P42" s="5">
        <f>SUM(O42-M42)</f>
        <v/>
      </c>
      <c r="Q42" s="128">
        <f>R42+S42</f>
        <v/>
      </c>
      <c r="R42" s="127">
        <f>J42*(MAX(1,ROUNDUP(I42/5,0)*0.5)*COSTE!$G$3)</f>
        <v/>
      </c>
      <c r="S42" s="126">
        <f>SUM(T42:AU42)</f>
        <v/>
      </c>
      <c r="T42" s="129">
        <f>I42*COSTE!$G$26</f>
        <v/>
      </c>
      <c r="U42" s="129">
        <f>(I42/15)*COSTE!$G$4</f>
        <v/>
      </c>
      <c r="V42" s="126">
        <f>(I42/30)*COSTE!$G$5</f>
        <v/>
      </c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</row>
    <row r="43">
      <c r="A43" s="1" t="inlineStr">
        <is>
          <t>Muro</t>
        </is>
      </c>
      <c r="B43" s="1" t="inlineStr">
        <is>
          <t>Proceso</t>
        </is>
      </c>
      <c r="C43" s="1" t="inlineStr">
        <is>
          <t>Regata</t>
        </is>
      </c>
      <c r="D43" s="2" t="inlineStr">
        <is>
          <t>Regata Led Recta</t>
        </is>
      </c>
      <c r="E43" s="32" t="n"/>
      <c r="F43" s="25" t="n"/>
      <c r="G43" s="25" t="n"/>
      <c r="H43" s="25" t="n"/>
      <c r="I43" s="119" t="n">
        <v>0</v>
      </c>
      <c r="J43" s="6" t="n">
        <v>0</v>
      </c>
      <c r="K43" s="5" t="n">
        <v>5</v>
      </c>
      <c r="L43" s="188">
        <f>IFERROR(ROUNDUP((Q43/I43)/0.5,0)*0.5,0)</f>
        <v/>
      </c>
      <c r="M43" s="5">
        <f>IF(I43=0,J43*K43,I43*J43*K43)</f>
        <v/>
      </c>
      <c r="N43" s="38">
        <f>$N$14</f>
        <v/>
      </c>
      <c r="O43" s="39">
        <f>SUM(M43*N43)+M43</f>
        <v/>
      </c>
      <c r="P43" s="5">
        <f>SUM(O43-M43)</f>
        <v/>
      </c>
      <c r="Q43" s="128">
        <f>R43+S43</f>
        <v/>
      </c>
      <c r="R43" s="127">
        <f>J43*(MAX(1,ROUNDUP(I43/10,0)*3)*COSTE!$G$3)</f>
        <v/>
      </c>
      <c r="S43" s="126">
        <f>SUM(T43:AU43)</f>
        <v/>
      </c>
      <c r="T43" s="129">
        <f>(I43/4)*COSTE!$G$5</f>
        <v/>
      </c>
      <c r="U43" s="112" t="n"/>
      <c r="V43" s="112" t="n"/>
      <c r="W43" s="115" t="n"/>
      <c r="X43" s="115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</row>
    <row r="44">
      <c r="A44" s="1" t="inlineStr">
        <is>
          <t>Muro</t>
        </is>
      </c>
      <c r="B44" s="1" t="inlineStr">
        <is>
          <t>Proceso</t>
        </is>
      </c>
      <c r="C44" s="1" t="inlineStr">
        <is>
          <t>Regata</t>
        </is>
      </c>
      <c r="D44" s="2" t="inlineStr">
        <is>
          <t>Regata Led Diagonal o Curva</t>
        </is>
      </c>
      <c r="E44" s="32" t="n"/>
      <c r="F44" s="25" t="n"/>
      <c r="G44" s="25" t="n"/>
      <c r="H44" s="25" t="n"/>
      <c r="I44" s="119" t="n">
        <v>0</v>
      </c>
      <c r="J44" s="6" t="n">
        <v>0</v>
      </c>
      <c r="K44" s="5" t="n">
        <v>10</v>
      </c>
      <c r="L44" s="188">
        <f>IFERROR(ROUNDUP((Q44/I44)/0.5,0)*0.5,0)</f>
        <v/>
      </c>
      <c r="M44" s="5">
        <f>IF(I44=0,J44*K44,I44*J44*K44)</f>
        <v/>
      </c>
      <c r="N44" s="38">
        <f>$N$14</f>
        <v/>
      </c>
      <c r="O44" s="39">
        <f>SUM(M44*N44)+M44</f>
        <v/>
      </c>
      <c r="P44" s="5">
        <f>SUM(O44-M44)</f>
        <v/>
      </c>
      <c r="Q44" s="128">
        <f>R44+S44</f>
        <v/>
      </c>
      <c r="R44" s="127">
        <f>J44*(MAX(1,ROUNDUP(I44/10,0)*3)*COSTE!$G$3)</f>
        <v/>
      </c>
      <c r="S44" s="126">
        <f>SUM(T44:AU44)</f>
        <v/>
      </c>
      <c r="T44" s="115" t="n"/>
      <c r="U44" s="129">
        <f>(I44/2)*COSTE!$G$5</f>
        <v/>
      </c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</row>
    <row r="45">
      <c r="A45" s="1" t="inlineStr">
        <is>
          <t>Muro</t>
        </is>
      </c>
      <c r="B45" s="1" t="inlineStr">
        <is>
          <t>Aislante</t>
        </is>
      </c>
      <c r="C45" s="1" t="inlineStr">
        <is>
          <t>Lana Roca</t>
        </is>
      </c>
      <c r="D45" s="1" t="inlineStr">
        <is>
          <t>Panel acustico</t>
        </is>
      </c>
      <c r="E45" s="17" t="n"/>
      <c r="F45" s="119" t="n">
        <v>0</v>
      </c>
      <c r="G45" s="119" t="n">
        <v>0</v>
      </c>
      <c r="H45" s="25" t="n"/>
      <c r="I45" s="5">
        <f>F45*G45</f>
        <v/>
      </c>
      <c r="J45" s="6" t="n">
        <v>0</v>
      </c>
      <c r="K45" s="5" t="n">
        <v>3</v>
      </c>
      <c r="L45" s="188">
        <f>IFERROR(ROUNDUP((Q45/I45)/0.5,0)*0.5,0)</f>
        <v/>
      </c>
      <c r="M45" s="5">
        <f>IF(I45=0,J45*K45,I45*J45*K45)</f>
        <v/>
      </c>
      <c r="N45" s="38">
        <f>$N$46</f>
        <v/>
      </c>
      <c r="O45" s="39">
        <f>SUM(M45*N45)+M45</f>
        <v/>
      </c>
      <c r="P45" s="5">
        <f>SUM(O45-M45)</f>
        <v/>
      </c>
      <c r="Q45" s="128">
        <f>R45+S45</f>
        <v/>
      </c>
      <c r="R45" s="127">
        <f>J45*(MAX(1,ROUNDUP(I45/20,0)*1)*COSTE!$G$3)</f>
        <v/>
      </c>
      <c r="S45" s="126">
        <f>SUM(T45:AU45)</f>
        <v/>
      </c>
      <c r="T45" s="112" t="n"/>
      <c r="U45" s="112" t="n"/>
      <c r="V45" s="129">
        <f>I45*COSTE!$G$67</f>
        <v/>
      </c>
      <c r="W45" s="129">
        <f>(I45/30)*COSTE!$G$5</f>
        <v/>
      </c>
      <c r="X45" s="129">
        <f>ROUNDUP(I45/35,0)*((COSTE!$G$20/3)+(COSTE!$G$45*1)+(COSTE!$G$4/6)+(0.5))</f>
        <v/>
      </c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</row>
    <row r="46" customFormat="1" s="191">
      <c r="A46" s="22" t="n"/>
      <c r="B46" s="22" t="n"/>
      <c r="C46" s="22" t="n"/>
      <c r="D46" s="22" t="n"/>
      <c r="E46" s="22" t="n"/>
      <c r="F46" s="8" t="n"/>
      <c r="G46" s="8" t="n"/>
      <c r="H46" s="8" t="n"/>
      <c r="I46" s="8" t="n"/>
      <c r="J46" s="8" t="n"/>
      <c r="K46" s="8" t="inlineStr">
        <is>
          <t>TOTAL MURO</t>
        </is>
      </c>
      <c r="L46" s="8" t="n"/>
      <c r="M46" s="9">
        <f>SUM(M15:M45)</f>
        <v/>
      </c>
      <c r="N46" s="18">
        <f>$N$2</f>
        <v/>
      </c>
      <c r="O46" s="9">
        <f>SUM(O16:O45)</f>
        <v/>
      </c>
      <c r="P46" s="9">
        <f>SUM(P15:P45)</f>
        <v/>
      </c>
      <c r="Q46" s="9">
        <f>SUM(Q15:Q45)</f>
        <v/>
      </c>
      <c r="R46" s="137" t="n"/>
      <c r="S46" s="9">
        <f>SUM(S15:S45)</f>
        <v/>
      </c>
      <c r="T46" s="131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  <c r="AF46" s="131" t="n"/>
      <c r="AG46" s="131" t="n"/>
      <c r="AH46" s="131" t="n"/>
      <c r="AI46" s="131" t="n"/>
    </row>
    <row r="47">
      <c r="A47" s="104" t="inlineStr">
        <is>
          <t>FAMILIA</t>
        </is>
      </c>
      <c r="B47" s="104" t="inlineStr">
        <is>
          <t>SUB F.</t>
        </is>
      </c>
      <c r="C47" s="104" t="inlineStr">
        <is>
          <t>MATERIAL</t>
        </is>
      </c>
      <c r="D47" s="100" t="inlineStr">
        <is>
          <t>BANNER</t>
        </is>
      </c>
      <c r="E47" s="100" t="inlineStr">
        <is>
          <t>COMENTARIOS</t>
        </is>
      </c>
      <c r="F47" s="99" t="inlineStr">
        <is>
          <t>Largo</t>
        </is>
      </c>
      <c r="G47" s="99" t="inlineStr">
        <is>
          <t>Altura</t>
        </is>
      </c>
      <c r="H47" s="99" t="inlineStr">
        <is>
          <t>Grosor</t>
        </is>
      </c>
      <c r="I47" s="101" t="inlineStr">
        <is>
          <t>m2</t>
        </is>
      </c>
      <c r="J47" s="106" t="inlineStr">
        <is>
          <t>UDS</t>
        </is>
      </c>
      <c r="K47" s="101" t="inlineStr">
        <is>
          <t>€/m2</t>
        </is>
      </c>
      <c r="L47" s="142" t="inlineStr">
        <is>
          <t>€/Uni Real</t>
        </is>
      </c>
      <c r="M47" s="101" t="inlineStr">
        <is>
          <t>€/Empresa</t>
        </is>
      </c>
      <c r="N47" s="102" t="inlineStr">
        <is>
          <t>Markup %</t>
        </is>
      </c>
      <c r="O47" s="101" t="inlineStr">
        <is>
          <t>€ TOTAL</t>
        </is>
      </c>
      <c r="P47" s="101" t="inlineStr">
        <is>
          <t>BEN.EMP</t>
        </is>
      </c>
      <c r="Q47" s="122" t="inlineStr">
        <is>
          <t>COSTE TOT</t>
        </is>
      </c>
      <c r="R47" s="136" t="inlineStr">
        <is>
          <t>Diseño (50m2/6h)</t>
        </is>
      </c>
      <c r="S47" s="109" t="inlineStr">
        <is>
          <t xml:space="preserve">COSTE MAT </t>
        </is>
      </c>
      <c r="T47" s="113" t="inlineStr">
        <is>
          <t xml:space="preserve">Tableros </t>
        </is>
      </c>
      <c r="U47" s="110" t="inlineStr">
        <is>
          <t>(20m2/h)  Corte</t>
        </is>
      </c>
      <c r="V47" s="110" t="inlineStr">
        <is>
          <t>Merma 20%</t>
        </is>
      </c>
      <c r="W47" s="111" t="inlineStr">
        <is>
          <t>Estructura</t>
        </is>
      </c>
      <c r="X47" s="116" t="inlineStr">
        <is>
          <t>(18ml/h)  Corte</t>
        </is>
      </c>
      <c r="Y47" s="116" t="inlineStr">
        <is>
          <t>Merma 20%</t>
        </is>
      </c>
      <c r="Z47" s="147" t="inlineStr">
        <is>
          <t>(5/4m2/h) T. Fabricación</t>
        </is>
      </c>
      <c r="AA47" s="111" t="inlineStr">
        <is>
          <t>(50m2/h) T. Paletizacion</t>
        </is>
      </c>
      <c r="AB47" s="110" t="inlineStr">
        <is>
          <t>Palets</t>
        </is>
      </c>
      <c r="AC47" s="111" t="inlineStr">
        <is>
          <t>Tornilleria</t>
        </is>
      </c>
      <c r="AD47" s="112" t="n"/>
      <c r="AE47" s="112" t="n"/>
      <c r="AF47" s="112" t="n"/>
      <c r="AG47" s="112" t="n"/>
      <c r="AH47" s="112" t="n"/>
      <c r="AI47" s="112" t="n"/>
    </row>
    <row r="48">
      <c r="A48" s="1" t="inlineStr">
        <is>
          <t>Banner</t>
        </is>
      </c>
      <c r="B48" s="1" t="inlineStr">
        <is>
          <t>Banner</t>
        </is>
      </c>
      <c r="C48" s="1" t="inlineStr">
        <is>
          <t>Chopo</t>
        </is>
      </c>
      <c r="D48" s="2" t="inlineStr">
        <is>
          <t>Banner 1 cara Chopo 5mm + Estructura Pino (Grosor Estandar 0,05m)</t>
        </is>
      </c>
      <c r="E48" s="30" t="n"/>
      <c r="F48" s="119" t="n">
        <v>0</v>
      </c>
      <c r="G48" s="119" t="n">
        <v>0</v>
      </c>
      <c r="H48" s="119" t="n">
        <v>0</v>
      </c>
      <c r="I48" s="5">
        <f>F48*G48</f>
        <v/>
      </c>
      <c r="J48" s="6" t="n">
        <v>0</v>
      </c>
      <c r="K48" s="19" t="n">
        <v>23</v>
      </c>
      <c r="L48" s="188">
        <f>IFERROR(ROUNDUP((Q48/I48)/0.5,0)*0.5,0)</f>
        <v/>
      </c>
      <c r="M48" s="5">
        <f>IF(I48=0,J48*K48,I48*J48*K48)</f>
        <v/>
      </c>
      <c r="N48" s="38">
        <f>$N$54</f>
        <v/>
      </c>
      <c r="O48" s="39">
        <f>SUM(M48*N48)+M48</f>
        <v/>
      </c>
      <c r="P48" s="5">
        <f>SUM(O48-M48)</f>
        <v/>
      </c>
      <c r="Q48" s="128">
        <f>R48+S48</f>
        <v/>
      </c>
      <c r="R48" s="127">
        <f>J48*(MAX(1,ROUNDUP(I48/50,0)*6)*COSTE!$G$3)</f>
        <v/>
      </c>
      <c r="S48" s="126">
        <f>SUM(T48:AU48)</f>
        <v/>
      </c>
      <c r="T48" s="129">
        <f>(F48*G48)*COSTE!$G$30</f>
        <v/>
      </c>
      <c r="U48" s="129">
        <f>(I48/20)*COSTE!$G$4</f>
        <v/>
      </c>
      <c r="V48" s="129">
        <f>T48*20%</f>
        <v/>
      </c>
      <c r="W48" s="129">
        <f>((F48*2)+(G48*6))*COSTE!$G$41</f>
        <v/>
      </c>
      <c r="X48" s="129">
        <f>(((F48*2)+(G48*6))/18)*COSTE!$G$4</f>
        <v/>
      </c>
      <c r="Y48" s="129">
        <f>W48*20%</f>
        <v/>
      </c>
      <c r="Z48" s="129">
        <f>(I48/5)*COSTE!$G$4</f>
        <v/>
      </c>
      <c r="AA48" s="129">
        <f>(I48/50)*COSTE!$G$4</f>
        <v/>
      </c>
      <c r="AB48" s="129">
        <f>ROUNDUP(I48/50,0)*((COSTE!$G$20/3)+(COSTE!$G$45*1)+(COSTE!$G$4/6)+(0.5))</f>
        <v/>
      </c>
      <c r="AC48" s="129">
        <f>I48*0.01</f>
        <v/>
      </c>
      <c r="AD48" s="112" t="n"/>
      <c r="AE48" s="112" t="n"/>
      <c r="AF48" s="112" t="n"/>
      <c r="AG48" s="112" t="n"/>
      <c r="AH48" s="112" t="n"/>
      <c r="AI48" s="112" t="n"/>
    </row>
    <row r="49">
      <c r="A49" s="1" t="inlineStr">
        <is>
          <t>Banner</t>
        </is>
      </c>
      <c r="B49" s="1" t="inlineStr">
        <is>
          <t>Banner</t>
        </is>
      </c>
      <c r="C49" s="1" t="inlineStr">
        <is>
          <t>Chopo</t>
        </is>
      </c>
      <c r="D49" s="2" t="inlineStr">
        <is>
          <t>Banner 2 caras Chopo 5mm + Estructura Pino (Grosor Estandar 0,055m)</t>
        </is>
      </c>
      <c r="E49" s="30" t="n"/>
      <c r="F49" s="119" t="n">
        <v>0</v>
      </c>
      <c r="G49" s="119" t="n">
        <v>0</v>
      </c>
      <c r="H49" s="119" t="n">
        <v>0</v>
      </c>
      <c r="I49" s="5">
        <f>F49*G49</f>
        <v/>
      </c>
      <c r="J49" s="6" t="n">
        <v>0</v>
      </c>
      <c r="K49" s="19" t="n">
        <v>37</v>
      </c>
      <c r="L49" s="188">
        <f>IFERROR(ROUNDUP((Q49/I49)/0.5,0)*0.5,0)</f>
        <v/>
      </c>
      <c r="M49" s="5">
        <f>IF(I49=0,J49*K49,I49*J49*K49)</f>
        <v/>
      </c>
      <c r="N49" s="38">
        <f>$N$54</f>
        <v/>
      </c>
      <c r="O49" s="39">
        <f>SUM(M49*N49)+M49</f>
        <v/>
      </c>
      <c r="P49" s="5">
        <f>SUM(O49-M49)</f>
        <v/>
      </c>
      <c r="Q49" s="128">
        <f>R49+S49</f>
        <v/>
      </c>
      <c r="R49" s="127">
        <f>J49*(MAX(1,ROUNDUP(I49/50,0)*6)*COSTE!$G$3)</f>
        <v/>
      </c>
      <c r="S49" s="126">
        <f>SUM(T49:AU49)</f>
        <v/>
      </c>
      <c r="T49" s="129">
        <f>((F49*G49)*2)*COSTE!$G$30</f>
        <v/>
      </c>
      <c r="U49" s="129">
        <f>((I49*2)/20)*COSTE!$G$4</f>
        <v/>
      </c>
      <c r="V49" s="129">
        <f>T49*20%</f>
        <v/>
      </c>
      <c r="W49" s="129">
        <f>((F49*2)+(G49*6))*COSTE!$G$41</f>
        <v/>
      </c>
      <c r="X49" s="129">
        <f>(((F49*2)+(G49*6))/18)*COSTE!$G$4</f>
        <v/>
      </c>
      <c r="Y49" s="129">
        <f>W49*20%</f>
        <v/>
      </c>
      <c r="Z49" s="129">
        <f>(I49/4)*COSTE!$G$4</f>
        <v/>
      </c>
      <c r="AA49" s="129">
        <f>(I49/50)*COSTE!$G$4</f>
        <v/>
      </c>
      <c r="AB49" s="129">
        <f>ROUNDUP(I49/50,0)*((COSTE!$G$20/3)+(COSTE!$G$45*1)+(COSTE!$G$4/6)+(0.5))</f>
        <v/>
      </c>
      <c r="AC49" s="129">
        <f>I49*0.01</f>
        <v/>
      </c>
      <c r="AD49" s="112" t="n"/>
      <c r="AE49" s="112" t="n"/>
      <c r="AF49" s="112" t="n"/>
      <c r="AG49" s="112" t="n"/>
      <c r="AH49" s="112" t="n"/>
      <c r="AI49" s="112" t="n"/>
    </row>
    <row r="50">
      <c r="A50" s="1" t="inlineStr">
        <is>
          <t>Banner</t>
        </is>
      </c>
      <c r="B50" s="1" t="inlineStr">
        <is>
          <t>Banner</t>
        </is>
      </c>
      <c r="C50" s="1" t="inlineStr">
        <is>
          <t>Chopo</t>
        </is>
      </c>
      <c r="D50" s="2" t="inlineStr">
        <is>
          <t>Banner 2 caras Chopo 5mm + Estructura Pino (Grosor &lt;0,055mm)</t>
        </is>
      </c>
      <c r="E50" s="30" t="n"/>
      <c r="F50" s="119" t="n">
        <v>0</v>
      </c>
      <c r="G50" s="119" t="n">
        <v>0</v>
      </c>
      <c r="H50" s="119" t="n">
        <v>0</v>
      </c>
      <c r="I50" s="5">
        <f>F50*G50</f>
        <v/>
      </c>
      <c r="J50" s="6" t="n">
        <v>0</v>
      </c>
      <c r="K50" s="19" t="n">
        <v>37</v>
      </c>
      <c r="L50" s="188">
        <f>IFERROR(ROUNDUP((Q50/I50)/0.5,0)*0.5,0)</f>
        <v/>
      </c>
      <c r="M50" s="5">
        <f>IF(I50=0,J50*K50,I50*J50*K50)</f>
        <v/>
      </c>
      <c r="N50" s="38">
        <f>$N$54</f>
        <v/>
      </c>
      <c r="O50" s="39">
        <f>SUM(M50*N50)+M50</f>
        <v/>
      </c>
      <c r="P50" s="5">
        <f>SUM(O50-M50)</f>
        <v/>
      </c>
      <c r="Q50" s="128">
        <f>R50+S50</f>
        <v/>
      </c>
      <c r="R50" s="127">
        <f>J50*(MAX(1,ROUNDUP(I50/50,0)*6)*COSTE!$G$3)</f>
        <v/>
      </c>
      <c r="S50" s="126">
        <f>SUM(T50:AU50)</f>
        <v/>
      </c>
      <c r="T50" s="129">
        <f>(((F50*G50)*2)+((F50*H50)*2)+(G50*H50*2))*COSTE!$G$30</f>
        <v/>
      </c>
      <c r="U50" s="129">
        <f>((I50*2)/20)*COSTE!$G$4</f>
        <v/>
      </c>
      <c r="V50" s="129">
        <f>T50*20%</f>
        <v/>
      </c>
      <c r="W50" s="129">
        <f>((((F50*2)+(G50*6)*2)+(H50*20))*COSTE!$G$41)</f>
        <v/>
      </c>
      <c r="X50" s="129">
        <f>((((F50*2)+(G50*6)*2)+(H50*20))/18)*COSTE!$G$4</f>
        <v/>
      </c>
      <c r="Y50" s="129">
        <f>W50*20%</f>
        <v/>
      </c>
      <c r="Z50" s="129">
        <f>(I50/4)*COSTE!$G$4</f>
        <v/>
      </c>
      <c r="AA50" s="129">
        <f>(I50/50)*COSTE!$G$4</f>
        <v/>
      </c>
      <c r="AB50" s="129">
        <f>ROUNDUP(I50/50,0)*((COSTE!$G$20/3)+(COSTE!$G$45*1)+(COSTE!$G$4/6)+(0.5))</f>
        <v/>
      </c>
      <c r="AC50" s="129">
        <f>I50*0.01</f>
        <v/>
      </c>
      <c r="AD50" s="112" t="n"/>
      <c r="AE50" s="112" t="n"/>
      <c r="AF50" s="112" t="n"/>
      <c r="AG50" s="112" t="n"/>
      <c r="AH50" s="112" t="n"/>
      <c r="AI50" s="112" t="n"/>
    </row>
    <row r="51">
      <c r="A51" s="104" t="inlineStr">
        <is>
          <t>FAMILIA</t>
        </is>
      </c>
      <c r="B51" s="104" t="inlineStr">
        <is>
          <t>SUB F.</t>
        </is>
      </c>
      <c r="C51" s="104" t="inlineStr">
        <is>
          <t>MATERIAL</t>
        </is>
      </c>
      <c r="D51" s="100" t="inlineStr">
        <is>
          <t>BANNER - CURVAS / REGATA LED / AISLANTE MURO</t>
        </is>
      </c>
      <c r="E51" s="100" t="inlineStr">
        <is>
          <t>COMENTARIOS</t>
        </is>
      </c>
      <c r="F51" s="99" t="inlineStr">
        <is>
          <t>Ancho</t>
        </is>
      </c>
      <c r="G51" s="99" t="inlineStr">
        <is>
          <t>Fondo</t>
        </is>
      </c>
      <c r="H51" s="99" t="inlineStr">
        <is>
          <t>Altura</t>
        </is>
      </c>
      <c r="I51" s="101" t="inlineStr">
        <is>
          <t>m2</t>
        </is>
      </c>
      <c r="J51" s="106" t="inlineStr">
        <is>
          <t>UDS</t>
        </is>
      </c>
      <c r="K51" s="101" t="inlineStr">
        <is>
          <t>€/Um2</t>
        </is>
      </c>
      <c r="L51" s="142" t="inlineStr">
        <is>
          <t>€/Uni Real</t>
        </is>
      </c>
      <c r="M51" s="101" t="inlineStr">
        <is>
          <t>€/Empresa</t>
        </is>
      </c>
      <c r="N51" s="102" t="inlineStr">
        <is>
          <t>Markup %</t>
        </is>
      </c>
      <c r="O51" s="101" t="inlineStr">
        <is>
          <t>€ TOTAL</t>
        </is>
      </c>
      <c r="P51" s="101" t="inlineStr">
        <is>
          <t>BEN.EMP</t>
        </is>
      </c>
      <c r="Q51" s="122" t="inlineStr">
        <is>
          <t>COSTE TOT</t>
        </is>
      </c>
      <c r="R51" s="136" t="inlineStr">
        <is>
          <t xml:space="preserve">Diseño </t>
        </is>
      </c>
      <c r="S51" s="109" t="inlineStr">
        <is>
          <t xml:space="preserve">COSTE MAT </t>
        </is>
      </c>
      <c r="T51" s="113" t="inlineStr">
        <is>
          <t>Tableros chopo</t>
        </is>
      </c>
      <c r="U51" s="110" t="inlineStr">
        <is>
          <t xml:space="preserve">( 20m2/h)  Corte </t>
        </is>
      </c>
      <c r="V51" s="110" t="inlineStr">
        <is>
          <t>Merma 20%</t>
        </is>
      </c>
      <c r="W51" s="111" t="inlineStr">
        <is>
          <t>Estructura</t>
        </is>
      </c>
      <c r="X51" s="111" t="inlineStr">
        <is>
          <t>Corte</t>
        </is>
      </c>
      <c r="Y51" s="116" t="inlineStr">
        <is>
          <t>Merma 20%</t>
        </is>
      </c>
      <c r="Z51" s="116" t="inlineStr">
        <is>
          <t>CNC</t>
        </is>
      </c>
      <c r="AA51" s="147" t="inlineStr">
        <is>
          <t>(2m2/h) T. Fabricación</t>
        </is>
      </c>
      <c r="AB51" s="111" t="inlineStr">
        <is>
          <t>(30m2/h) T. Paletizacion</t>
        </is>
      </c>
      <c r="AC51" s="110" t="inlineStr">
        <is>
          <t>Palets</t>
        </is>
      </c>
      <c r="AD51" s="111" t="inlineStr">
        <is>
          <t>Tornilleria</t>
        </is>
      </c>
      <c r="AE51" s="112" t="n"/>
      <c r="AF51" s="112" t="n"/>
      <c r="AG51" s="112" t="n"/>
      <c r="AH51" s="112" t="n"/>
      <c r="AI51" s="112" t="n"/>
    </row>
    <row r="52">
      <c r="A52" s="1" t="inlineStr">
        <is>
          <t>Banner</t>
        </is>
      </c>
      <c r="B52" s="1" t="inlineStr">
        <is>
          <t>Curvas</t>
        </is>
      </c>
      <c r="C52" s="1" t="inlineStr">
        <is>
          <t>Chopo</t>
        </is>
      </c>
      <c r="D52" s="2" t="inlineStr">
        <is>
          <t>Para Pintar Chopo 5mm a 1 caras (Minimo 1m2 por tira)</t>
        </is>
      </c>
      <c r="E52" s="17" t="n"/>
      <c r="F52" s="119" t="n">
        <v>0</v>
      </c>
      <c r="G52" s="119" t="n">
        <v>0</v>
      </c>
      <c r="H52" s="119" t="n">
        <v>0</v>
      </c>
      <c r="I52" s="5">
        <f>F52*G52</f>
        <v/>
      </c>
      <c r="J52" s="6" t="n">
        <v>0</v>
      </c>
      <c r="K52" s="19" t="n">
        <v>44</v>
      </c>
      <c r="L52" s="188">
        <f>IFERROR(ROUNDUP((Q52/I52)/0.5,0)*0.5,0)</f>
        <v/>
      </c>
      <c r="M52" s="5">
        <f>IF(I52=0,J52*K52,I52*J52*K52)</f>
        <v/>
      </c>
      <c r="N52" s="38">
        <f>$N$126</f>
        <v/>
      </c>
      <c r="O52" s="39">
        <f>SUM(M52*N52)+M52</f>
        <v/>
      </c>
      <c r="P52" s="5">
        <f>SUM(O52-M52)</f>
        <v/>
      </c>
      <c r="Q52" s="128">
        <f>R52+S52</f>
        <v/>
      </c>
      <c r="R52" s="127">
        <f>J52*(MAX(1,ROUNDUP(I52/2,0)*1)*COSTE!$G$3)</f>
        <v/>
      </c>
      <c r="S52" s="126">
        <f>SUM(T52:AU52)</f>
        <v/>
      </c>
      <c r="T52" s="126">
        <f>COSTE!$G$32*( (0.25*2*3.1415*F52)*H52)</f>
        <v/>
      </c>
      <c r="U52" s="126">
        <f>(( (0.25*2*3.1415*F52)*H52)/20)*COSTE!$G$4</f>
        <v/>
      </c>
      <c r="V52" s="126">
        <f>T52*20%</f>
        <v/>
      </c>
      <c r="W52" s="126">
        <f>COSTE!$G$20*((F52*G52)*H52)+((F52*H52)*((0.25*2*3.1415*F52)/0.5))</f>
        <v/>
      </c>
      <c r="X52" s="126">
        <f>((F52*H52)*((0.25*2*3.1415*F52)*COSTE!$J$14))</f>
        <v/>
      </c>
      <c r="Y52" s="126">
        <f>W52*20%</f>
        <v/>
      </c>
      <c r="Z52" s="126">
        <f>(((F52*G52)*H52)/5)*25</f>
        <v/>
      </c>
      <c r="AA52" s="126">
        <f>(I52/1)*COSTE!$G$4</f>
        <v/>
      </c>
      <c r="AB52" s="126">
        <f>(I52/30)*COSTE!$G$5</f>
        <v/>
      </c>
      <c r="AC52" s="126">
        <f>ROUNDUP(I52/35,0)*((COSTE!$G$20/3)+(COSTE!$G$45*1)+(COSTE!$G$4/6)+(0.5))</f>
        <v/>
      </c>
      <c r="AD52" s="126">
        <f>I52*0.1</f>
        <v/>
      </c>
      <c r="AE52" s="112" t="n"/>
      <c r="AF52" s="112" t="n"/>
      <c r="AG52" s="112" t="n"/>
      <c r="AH52" s="112" t="n"/>
      <c r="AI52" s="112" t="n"/>
      <c r="AL52" s="190" t="n"/>
    </row>
    <row r="53">
      <c r="A53" s="1" t="inlineStr">
        <is>
          <t>Banner</t>
        </is>
      </c>
      <c r="B53" s="1" t="inlineStr">
        <is>
          <t>Curvas</t>
        </is>
      </c>
      <c r="C53" s="1" t="inlineStr">
        <is>
          <t>Chopo</t>
        </is>
      </c>
      <c r="D53" s="2" t="inlineStr">
        <is>
          <t>Para Pintar Chopo 5mm a 2 caras (Minimo 1m2 por tira)</t>
        </is>
      </c>
      <c r="E53" s="17" t="n"/>
      <c r="F53" s="119" t="n">
        <v>0</v>
      </c>
      <c r="G53" s="119" t="n">
        <v>0</v>
      </c>
      <c r="H53" s="119" t="n">
        <v>0</v>
      </c>
      <c r="I53" s="5">
        <f>F53*G53</f>
        <v/>
      </c>
      <c r="J53" s="6" t="n">
        <v>0</v>
      </c>
      <c r="K53" s="19" t="n">
        <v>58</v>
      </c>
      <c r="L53" s="188">
        <f>IFERROR(ROUNDUP((Q53/I53)/0.5,0)*0.5,0)</f>
        <v/>
      </c>
      <c r="M53" s="5">
        <f>IF(I53=0,J53*K53,I53*J53*K53)</f>
        <v/>
      </c>
      <c r="N53" s="38">
        <f>$N$126</f>
        <v/>
      </c>
      <c r="O53" s="39">
        <f>SUM(M53*N53)+M53</f>
        <v/>
      </c>
      <c r="P53" s="5">
        <f>SUM(O53-M53)</f>
        <v/>
      </c>
      <c r="Q53" s="128">
        <f>R53+S53</f>
        <v/>
      </c>
      <c r="R53" s="127">
        <f>J53*(MAX(1,ROUNDUP(I53/2,0)*1)*COSTE!$G$3)</f>
        <v/>
      </c>
      <c r="S53" s="126">
        <f>SUM(T53:AU53)</f>
        <v/>
      </c>
      <c r="T53" s="126">
        <f>COSTE!$G$32*(( (0.25*2*3.1415*F53)*H53)*2)</f>
        <v/>
      </c>
      <c r="U53" s="126">
        <f>(( ((0.25*2*3.1415*F53)*H53)/20)*2)*COSTE!$G$4</f>
        <v/>
      </c>
      <c r="V53" s="126">
        <f>T53*20%</f>
        <v/>
      </c>
      <c r="W53" s="126">
        <f>COSTE!$G$20*((F53*G53)*H53)+((F53*H53)*((0.25*2*3.1415*F53)/0.5))</f>
        <v/>
      </c>
      <c r="X53" s="126">
        <f>((F53*H53)*((0.25*2*3.1415*F53)*COSTE!$J$14))</f>
        <v/>
      </c>
      <c r="Y53" s="126">
        <f>W53*20%</f>
        <v/>
      </c>
      <c r="Z53" s="126">
        <f>(((F53*G53)*H53)/5)*25</f>
        <v/>
      </c>
      <c r="AA53" s="126">
        <f>(I53/0.75)*COSTE!$G$4</f>
        <v/>
      </c>
      <c r="AB53" s="126">
        <f>(I53/30)*COSTE!$G$5</f>
        <v/>
      </c>
      <c r="AC53" s="126">
        <f>ROUNDUP(I53/35,0)*((COSTE!$G$20/3)+(COSTE!$G$45*1)+(COSTE!$G$4/6)+(0.5))</f>
        <v/>
      </c>
      <c r="AD53" s="126">
        <f>I53*0.1</f>
        <v/>
      </c>
      <c r="AE53" s="112" t="n"/>
      <c r="AF53" s="112" t="n"/>
      <c r="AG53" s="112" t="n"/>
      <c r="AH53" s="112" t="n"/>
      <c r="AI53" s="112" t="n"/>
      <c r="AL53" s="190" t="n"/>
    </row>
    <row r="54" customFormat="1" s="191">
      <c r="A54" s="22" t="n"/>
      <c r="B54" s="22" t="n"/>
      <c r="C54" s="22" t="n"/>
      <c r="D54" s="22" t="n"/>
      <c r="E54" s="22" t="n"/>
      <c r="F54" s="8" t="n"/>
      <c r="G54" s="8" t="n"/>
      <c r="H54" s="8" t="n"/>
      <c r="I54" s="8" t="n"/>
      <c r="J54" s="8" t="n"/>
      <c r="K54" s="8" t="inlineStr">
        <is>
          <t>TOTAL BANNER</t>
        </is>
      </c>
      <c r="L54" s="144" t="n"/>
      <c r="M54" s="9">
        <f>SUM(M48:M53)</f>
        <v/>
      </c>
      <c r="N54" s="18">
        <f>$N$2</f>
        <v/>
      </c>
      <c r="O54" s="9">
        <f>SUM(O48:O53)</f>
        <v/>
      </c>
      <c r="P54" s="9">
        <f>SUM(P48:P53)</f>
        <v/>
      </c>
      <c r="Q54" s="9">
        <f>SUM(Q48:Q53)</f>
        <v/>
      </c>
      <c r="R54" s="9" t="n"/>
      <c r="S54" s="9">
        <f>SUM(S48:S53)</f>
        <v/>
      </c>
      <c r="T54" s="131" t="n"/>
      <c r="U54" s="131" t="n"/>
      <c r="V54" s="131" t="n"/>
      <c r="W54" s="131" t="n"/>
      <c r="X54" s="131" t="n"/>
      <c r="Y54" s="131" t="n"/>
      <c r="Z54" s="131" t="n"/>
      <c r="AA54" s="131" t="n"/>
      <c r="AB54" s="131" t="n"/>
      <c r="AC54" s="131" t="n"/>
      <c r="AD54" s="131" t="n"/>
      <c r="AE54" s="131" t="n"/>
      <c r="AF54" s="131" t="n"/>
      <c r="AG54" s="131" t="n"/>
      <c r="AH54" s="131" t="n"/>
      <c r="AI54" s="131" t="n"/>
      <c r="AL54" s="191" t="n"/>
    </row>
    <row r="55">
      <c r="A55" s="104" t="inlineStr">
        <is>
          <t>FAMILIA</t>
        </is>
      </c>
      <c r="B55" s="104" t="inlineStr">
        <is>
          <t>SUB F.</t>
        </is>
      </c>
      <c r="C55" s="104" t="inlineStr">
        <is>
          <t>MATERIAL</t>
        </is>
      </c>
      <c r="D55" s="100" t="inlineStr">
        <is>
          <t>VIGA</t>
        </is>
      </c>
      <c r="E55" s="100" t="inlineStr">
        <is>
          <t>COMENTARIOS</t>
        </is>
      </c>
      <c r="F55" s="99" t="inlineStr">
        <is>
          <t>Largo</t>
        </is>
      </c>
      <c r="G55" s="99" t="inlineStr">
        <is>
          <t>Ancho</t>
        </is>
      </c>
      <c r="H55" s="99" t="inlineStr">
        <is>
          <t>Alto</t>
        </is>
      </c>
      <c r="I55" s="101" t="inlineStr">
        <is>
          <t>m2</t>
        </is>
      </c>
      <c r="J55" s="106" t="inlineStr">
        <is>
          <t>UDS</t>
        </is>
      </c>
      <c r="K55" s="101" t="inlineStr">
        <is>
          <t>€/m2</t>
        </is>
      </c>
      <c r="L55" s="142" t="inlineStr">
        <is>
          <t>€/Uni Real</t>
        </is>
      </c>
      <c r="M55" s="101" t="inlineStr">
        <is>
          <t>€/Empresa</t>
        </is>
      </c>
      <c r="N55" s="102" t="inlineStr">
        <is>
          <t>Markup %</t>
        </is>
      </c>
      <c r="O55" s="101" t="inlineStr">
        <is>
          <t>€ TOTAL</t>
        </is>
      </c>
      <c r="P55" s="101" t="inlineStr">
        <is>
          <t>BEN.EMP</t>
        </is>
      </c>
      <c r="Q55" s="122" t="inlineStr">
        <is>
          <t>COSTE TOT</t>
        </is>
      </c>
      <c r="R55" s="136" t="inlineStr">
        <is>
          <t>Diseño (1m2/1h)</t>
        </is>
      </c>
      <c r="S55" s="109" t="inlineStr">
        <is>
          <t xml:space="preserve">COSTE MAT </t>
        </is>
      </c>
      <c r="T55" s="116" t="inlineStr">
        <is>
          <t xml:space="preserve">Tableros </t>
        </is>
      </c>
      <c r="U55" s="111" t="inlineStr">
        <is>
          <t>(10m2/h)  Corte</t>
        </is>
      </c>
      <c r="V55" s="111" t="inlineStr">
        <is>
          <t>Merma 30%</t>
        </is>
      </c>
      <c r="W55" s="147" t="inlineStr">
        <is>
          <t>(5m2/h) T. Fabricación</t>
        </is>
      </c>
      <c r="X55" s="111" t="inlineStr">
        <is>
          <t>(10m2/h) T. Paletizacion</t>
        </is>
      </c>
      <c r="Y55" s="110" t="inlineStr">
        <is>
          <t>Palets</t>
        </is>
      </c>
      <c r="Z55" s="111" t="inlineStr">
        <is>
          <t>Tornilleria</t>
        </is>
      </c>
      <c r="AA55" s="112" t="n"/>
      <c r="AB55" s="112" t="n"/>
      <c r="AC55" s="112" t="n"/>
      <c r="AD55" s="112" t="n"/>
      <c r="AE55" s="112" t="n"/>
      <c r="AF55" s="112" t="n"/>
      <c r="AG55" s="112" t="n"/>
      <c r="AH55" s="112" t="n"/>
      <c r="AI55" s="112" t="n"/>
    </row>
    <row r="56">
      <c r="A56" s="1" t="inlineStr">
        <is>
          <t>Viga</t>
        </is>
      </c>
      <c r="B56" s="1" t="inlineStr">
        <is>
          <t>Viga</t>
        </is>
      </c>
      <c r="C56" s="1" t="inlineStr">
        <is>
          <t>Aglomerado</t>
        </is>
      </c>
      <c r="D56" s="2" t="inlineStr">
        <is>
          <t>Viga en U (Estandar 0,15m)</t>
        </is>
      </c>
      <c r="E56" s="17" t="n"/>
      <c r="F56" s="119" t="n">
        <v>0</v>
      </c>
      <c r="G56" s="119" t="n">
        <v>0</v>
      </c>
      <c r="H56" s="119" t="n">
        <v>0</v>
      </c>
      <c r="I56" s="5">
        <f>(F56*G56)+((F56*H56)*2)</f>
        <v/>
      </c>
      <c r="J56" s="6" t="n">
        <v>0</v>
      </c>
      <c r="K56" s="19" t="n">
        <v>110</v>
      </c>
      <c r="L56" s="188">
        <f>IFERROR(ROUNDUP((Q56/I56)/0.5,0)*0.5,0)</f>
        <v/>
      </c>
      <c r="M56" s="5">
        <f>IF(I56=0,J56*K56,I56*J56*K56)</f>
        <v/>
      </c>
      <c r="N56" s="38">
        <f>$N$69</f>
        <v/>
      </c>
      <c r="O56" s="39">
        <f>SUM(M56*N56)+M56</f>
        <v/>
      </c>
      <c r="P56" s="5">
        <f>SUM(O56-M56)</f>
        <v/>
      </c>
      <c r="Q56" s="128">
        <f>R56+S56</f>
        <v/>
      </c>
      <c r="R56" s="127">
        <f>J56*(MAX(1, ROUNDUP(I56/1, 0) * 1) *COSTE!$G$3)</f>
        <v/>
      </c>
      <c r="S56" s="126">
        <f>SUM(T56:AU56)</f>
        <v/>
      </c>
      <c r="T56" s="129">
        <f>COSTE!$G$20*I56</f>
        <v/>
      </c>
      <c r="U56" s="129">
        <f>(I56/10)*COSTE!$G$4</f>
        <v/>
      </c>
      <c r="V56" s="129">
        <f>T56*30%</f>
        <v/>
      </c>
      <c r="W56" s="129">
        <f>(I56/5)*COSTE!$G$4</f>
        <v/>
      </c>
      <c r="X56" s="129">
        <f>(I56/10)*COSTE!$G$4</f>
        <v/>
      </c>
      <c r="Y56" s="129">
        <f>ROUNDUP(I56/50,0)*((COSTE!$G$20/3)+(COSTE!$G$45*1)+(COSTE!$G$4/6)+(0.5))</f>
        <v/>
      </c>
      <c r="Z56" s="129">
        <f>I56*0.02</f>
        <v/>
      </c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L56" s="190" t="n"/>
    </row>
    <row r="57">
      <c r="A57" s="1" t="inlineStr">
        <is>
          <t>Viga</t>
        </is>
      </c>
      <c r="B57" s="1" t="inlineStr">
        <is>
          <t>Viga</t>
        </is>
      </c>
      <c r="C57" s="1" t="inlineStr">
        <is>
          <t>Melamina</t>
        </is>
      </c>
      <c r="D57" s="2" t="inlineStr">
        <is>
          <t>Viga en U (Estandar 0,15m)</t>
        </is>
      </c>
      <c r="E57" s="17" t="n"/>
      <c r="F57" s="119" t="n">
        <v>0</v>
      </c>
      <c r="G57" s="119" t="n">
        <v>0</v>
      </c>
      <c r="H57" s="119" t="n">
        <v>0</v>
      </c>
      <c r="I57" s="5">
        <f>(F57*G57)+((F57*H57)*2)</f>
        <v/>
      </c>
      <c r="J57" s="6" t="n">
        <v>0</v>
      </c>
      <c r="K57" s="19" t="n">
        <v>145</v>
      </c>
      <c r="L57" s="188">
        <f>IFERROR(ROUNDUP((Q57/I57)/0.5,0)*0.5,0)</f>
        <v/>
      </c>
      <c r="M57" s="5">
        <f>IF(I57=0,J57*K57,I57*J57*K57)</f>
        <v/>
      </c>
      <c r="N57" s="38">
        <f>$N$69</f>
        <v/>
      </c>
      <c r="O57" s="39">
        <f>SUM(M57*N57)+M57</f>
        <v/>
      </c>
      <c r="P57" s="5">
        <f>SUM(O57-M57)</f>
        <v/>
      </c>
      <c r="Q57" s="128">
        <f>R57+S57</f>
        <v/>
      </c>
      <c r="R57" s="127">
        <f>J57*(MAX(1, ROUNDUP(I57/1, 0) * 1) *COSTE!$G$3)</f>
        <v/>
      </c>
      <c r="S57" s="126">
        <f>SUM(T57:AU57)</f>
        <v/>
      </c>
      <c r="T57" s="129">
        <f>COSTE!$G$13*I57</f>
        <v/>
      </c>
      <c r="U57" s="129">
        <f>(I57/5)*COSTE!$G$4</f>
        <v/>
      </c>
      <c r="V57" s="129">
        <f>T57*30%</f>
        <v/>
      </c>
      <c r="W57" s="129">
        <f>(I57/5)*COSTE!$G$4</f>
        <v/>
      </c>
      <c r="X57" s="129">
        <f>(I57/10)*COSTE!$G$4</f>
        <v/>
      </c>
      <c r="Y57" s="129">
        <f>ROUNDUP(I57/50,0)*((COSTE!$G$20/3)+(COSTE!$G$45*1)+(COSTE!$G$4/6)+(0.5))</f>
        <v/>
      </c>
      <c r="Z57" s="129">
        <f>I57*0.02</f>
        <v/>
      </c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L57" s="190" t="n"/>
    </row>
    <row r="58">
      <c r="A58" s="1" t="inlineStr">
        <is>
          <t>Viga</t>
        </is>
      </c>
      <c r="B58" s="1" t="inlineStr">
        <is>
          <t>Viga</t>
        </is>
      </c>
      <c r="C58" s="1" t="inlineStr">
        <is>
          <t>Mel. Especial / Chopo</t>
        </is>
      </c>
      <c r="D58" s="2" t="inlineStr">
        <is>
          <t>Viga en U (Estandar 0,15m)</t>
        </is>
      </c>
      <c r="E58" s="17" t="n"/>
      <c r="F58" s="119" t="n">
        <v>0</v>
      </c>
      <c r="G58" s="119" t="n">
        <v>0</v>
      </c>
      <c r="H58" s="119" t="n">
        <v>0</v>
      </c>
      <c r="I58" s="5">
        <f>(F58*G58)+((F58*H58)*2)</f>
        <v/>
      </c>
      <c r="J58" s="6" t="n">
        <v>0</v>
      </c>
      <c r="K58" s="19" t="n">
        <v>150</v>
      </c>
      <c r="L58" s="188">
        <f>IFERROR(ROUNDUP((Q58/I58)/0.5,0)*0.5,0)</f>
        <v/>
      </c>
      <c r="M58" s="5">
        <f>IF(I58=0,J58*K58,I58*J58*K58)</f>
        <v/>
      </c>
      <c r="N58" s="38">
        <f>$N$69</f>
        <v/>
      </c>
      <c r="O58" s="39">
        <f>SUM(M58*N58)+M58</f>
        <v/>
      </c>
      <c r="P58" s="5">
        <f>SUM(O58-M58)</f>
        <v/>
      </c>
      <c r="Q58" s="128">
        <f>R58+S58</f>
        <v/>
      </c>
      <c r="R58" s="127">
        <f>J58*(MAX(1, ROUNDUP(I58/1, 0) * 1) *COSTE!$G$3)</f>
        <v/>
      </c>
      <c r="S58" s="126">
        <f>SUM(T58:AU58)</f>
        <v/>
      </c>
      <c r="T58" s="129">
        <f>COSTE!$G$34*I58</f>
        <v/>
      </c>
      <c r="U58" s="129">
        <f>(I58/5)*COSTE!$G$4</f>
        <v/>
      </c>
      <c r="V58" s="129">
        <f>T58*30%</f>
        <v/>
      </c>
      <c r="W58" s="129">
        <f>(I58/5)*COSTE!$G$4</f>
        <v/>
      </c>
      <c r="X58" s="129">
        <f>(I58/10)*COSTE!$G$4</f>
        <v/>
      </c>
      <c r="Y58" s="129">
        <f>ROUNDUP(I58/50,0)*((COSTE!$G$20/3)+(COSTE!$G$45*1)+(COSTE!$G$4/6)+(0.5))</f>
        <v/>
      </c>
      <c r="Z58" s="129">
        <f>I58*0.02</f>
        <v/>
      </c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L58" s="190" t="n"/>
    </row>
    <row r="59" customFormat="1" s="191">
      <c r="A59" s="22" t="n"/>
      <c r="B59" s="22" t="n"/>
      <c r="C59" s="22" t="n"/>
      <c r="D59" s="22" t="n"/>
      <c r="E59" s="22" t="n"/>
      <c r="F59" s="8" t="n"/>
      <c r="G59" s="8" t="n"/>
      <c r="H59" s="8" t="n"/>
      <c r="I59" s="8" t="n"/>
      <c r="J59" s="8" t="n"/>
      <c r="K59" s="8" t="inlineStr">
        <is>
          <t>TOTAL VIGAS</t>
        </is>
      </c>
      <c r="L59" s="144" t="n"/>
      <c r="M59" s="9">
        <f>SUM(M56:M58)</f>
        <v/>
      </c>
      <c r="N59" s="18">
        <f>$N$2</f>
        <v/>
      </c>
      <c r="O59" s="9">
        <f>SUM(O56:O58)</f>
        <v/>
      </c>
      <c r="P59" s="9">
        <f>SUM(P56:P58)</f>
        <v/>
      </c>
      <c r="Q59" s="9">
        <f>SUM(Q56:Q58)</f>
        <v/>
      </c>
      <c r="R59" s="9" t="n"/>
      <c r="S59" s="9">
        <f>SUM(S56:S58)</f>
        <v/>
      </c>
      <c r="T59" s="131" t="n"/>
      <c r="U59" s="131" t="n"/>
      <c r="V59" s="131" t="n"/>
      <c r="W59" s="131" t="n"/>
      <c r="X59" s="131" t="n"/>
      <c r="Y59" s="131" t="n"/>
      <c r="Z59" s="131" t="n"/>
      <c r="AA59" s="131" t="n"/>
      <c r="AB59" s="131" t="n"/>
      <c r="AC59" s="131" t="n"/>
      <c r="AD59" s="131" t="n"/>
      <c r="AE59" s="131" t="n"/>
      <c r="AF59" s="131" t="n"/>
      <c r="AG59" s="131" t="n"/>
      <c r="AH59" s="131" t="n"/>
      <c r="AI59" s="131" t="n"/>
      <c r="AL59" s="191" t="n"/>
    </row>
    <row r="60">
      <c r="A60" s="104" t="inlineStr">
        <is>
          <t>FAMILIA</t>
        </is>
      </c>
      <c r="B60" s="104" t="inlineStr">
        <is>
          <t>SUB F.</t>
        </is>
      </c>
      <c r="C60" s="104" t="inlineStr">
        <is>
          <t>MATERIAL</t>
        </is>
      </c>
      <c r="D60" s="100" t="inlineStr">
        <is>
          <t>PILAR</t>
        </is>
      </c>
      <c r="E60" s="100" t="inlineStr">
        <is>
          <t>COMENTARIOS</t>
        </is>
      </c>
      <c r="F60" s="99" t="inlineStr">
        <is>
          <t>Largo</t>
        </is>
      </c>
      <c r="G60" s="99" t="inlineStr">
        <is>
          <t>Ancho</t>
        </is>
      </c>
      <c r="H60" s="99" t="inlineStr">
        <is>
          <t>Alto</t>
        </is>
      </c>
      <c r="I60" s="101" t="inlineStr">
        <is>
          <t>m2</t>
        </is>
      </c>
      <c r="J60" s="106" t="inlineStr">
        <is>
          <t>UDS</t>
        </is>
      </c>
      <c r="K60" s="101" t="inlineStr">
        <is>
          <t>€/m2</t>
        </is>
      </c>
      <c r="L60" s="142" t="inlineStr">
        <is>
          <t>€/Uni Real</t>
        </is>
      </c>
      <c r="M60" s="101" t="inlineStr">
        <is>
          <t>€/Empresa</t>
        </is>
      </c>
      <c r="N60" s="102" t="inlineStr">
        <is>
          <t>Markup %</t>
        </is>
      </c>
      <c r="O60" s="101" t="inlineStr">
        <is>
          <t>€ TOTAL</t>
        </is>
      </c>
      <c r="P60" s="101" t="inlineStr">
        <is>
          <t>BEN.EMP</t>
        </is>
      </c>
      <c r="Q60" s="122" t="inlineStr">
        <is>
          <t>COSTE TOT</t>
        </is>
      </c>
      <c r="R60" s="136" t="inlineStr">
        <is>
          <t>Diseño (1m3/1h)</t>
        </is>
      </c>
      <c r="S60" s="109" t="inlineStr">
        <is>
          <t xml:space="preserve">COSTE MAT </t>
        </is>
      </c>
      <c r="T60" s="116" t="inlineStr">
        <is>
          <t xml:space="preserve">Tableros </t>
        </is>
      </c>
      <c r="U60" s="111" t="inlineStr">
        <is>
          <t>(10 /5 m2/h)  Corte</t>
        </is>
      </c>
      <c r="V60" s="111" t="inlineStr">
        <is>
          <t>Merma 30%</t>
        </is>
      </c>
      <c r="W60" s="147" t="inlineStr">
        <is>
          <t>(5m2/h) T. Fabricación</t>
        </is>
      </c>
      <c r="X60" s="111" t="inlineStr">
        <is>
          <t>(5m2/h) T. Paletizacion</t>
        </is>
      </c>
      <c r="Y60" s="110" t="inlineStr">
        <is>
          <t>Palets</t>
        </is>
      </c>
      <c r="Z60" s="111" t="inlineStr">
        <is>
          <t>Tornilleria</t>
        </is>
      </c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</row>
    <row r="61">
      <c r="A61" s="1" t="inlineStr">
        <is>
          <t>Pilar</t>
        </is>
      </c>
      <c r="B61" s="1" t="inlineStr">
        <is>
          <t>Pilar</t>
        </is>
      </c>
      <c r="C61" s="1" t="inlineStr">
        <is>
          <t>Aglomerado</t>
        </is>
      </c>
      <c r="D61" s="2" t="inlineStr">
        <is>
          <t>Pilar  (Estandar 0,15m)</t>
        </is>
      </c>
      <c r="E61" s="17" t="n"/>
      <c r="F61" s="119" t="n">
        <v>0</v>
      </c>
      <c r="G61" s="119" t="n">
        <v>0</v>
      </c>
      <c r="H61" s="119" t="n">
        <v>0</v>
      </c>
      <c r="I61" s="5">
        <f>((F61*G61)*2)+((F61*H61)*2)</f>
        <v/>
      </c>
      <c r="J61" s="6" t="n">
        <v>0</v>
      </c>
      <c r="K61" s="19" t="n">
        <v>110</v>
      </c>
      <c r="L61" s="188">
        <f>IFERROR(ROUNDUP((Q61/I61)/0.5,0)*0.5,0)</f>
        <v/>
      </c>
      <c r="M61" s="5">
        <f>IF(I61=0,J61*K61,I61*J61*K61)</f>
        <v/>
      </c>
      <c r="N61" s="38">
        <f>$N$69</f>
        <v/>
      </c>
      <c r="O61" s="39">
        <f>SUM(M61*N61)+M61</f>
        <v/>
      </c>
      <c r="P61" s="5">
        <f>SUM(O61-M61)</f>
        <v/>
      </c>
      <c r="Q61" s="128">
        <f>R61+S61</f>
        <v/>
      </c>
      <c r="R61" s="127">
        <f>J61*(MAX(1, ROUNDUP(I61/1, 0) * 1) *COSTE!$G$3)</f>
        <v/>
      </c>
      <c r="S61" s="126">
        <f>SUM(T61:AU61)</f>
        <v/>
      </c>
      <c r="T61" s="129">
        <f>COSTE!$G$20*I61</f>
        <v/>
      </c>
      <c r="U61" s="129">
        <f>(I61/10)*COSTE!$G$4</f>
        <v/>
      </c>
      <c r="V61" s="129">
        <f>T61*30%</f>
        <v/>
      </c>
      <c r="W61" s="129">
        <f>(I61/5)*COSTE!$G$4</f>
        <v/>
      </c>
      <c r="X61" s="129">
        <f>(I61/5)*COSTE!$G$4</f>
        <v/>
      </c>
      <c r="Y61" s="129">
        <f>ROUNDUP(I61/50,0)*((COSTE!$G$20/3)+(COSTE!$G$45*1)+(COSTE!$G$4/6)+(0.5))</f>
        <v/>
      </c>
      <c r="Z61" s="129">
        <f>I61*0.02</f>
        <v/>
      </c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L61" s="190" t="n"/>
    </row>
    <row r="62">
      <c r="A62" s="1" t="inlineStr">
        <is>
          <t>Pilar</t>
        </is>
      </c>
      <c r="B62" s="1" t="inlineStr">
        <is>
          <t>Pilar</t>
        </is>
      </c>
      <c r="C62" s="1" t="inlineStr">
        <is>
          <t>Melamina</t>
        </is>
      </c>
      <c r="D62" s="2" t="inlineStr">
        <is>
          <t>Pilar  (Estandar 0,15m)</t>
        </is>
      </c>
      <c r="E62" s="17" t="n"/>
      <c r="F62" s="119" t="n">
        <v>0</v>
      </c>
      <c r="G62" s="119" t="n">
        <v>0</v>
      </c>
      <c r="H62" s="119" t="n">
        <v>0</v>
      </c>
      <c r="I62" s="5">
        <f>((F62*G62)*2)+((F62*H62)*2)</f>
        <v/>
      </c>
      <c r="J62" s="6" t="n">
        <v>0</v>
      </c>
      <c r="K62" s="19" t="n">
        <v>130</v>
      </c>
      <c r="L62" s="188">
        <f>IFERROR(ROUNDUP((Q62/I62)/0.5,0)*0.5,0)</f>
        <v/>
      </c>
      <c r="M62" s="5">
        <f>IF(I62=0,J62*K62,I62*J62*K62)</f>
        <v/>
      </c>
      <c r="N62" s="38">
        <f>$N$69</f>
        <v/>
      </c>
      <c r="O62" s="39">
        <f>SUM(M62*N62)+M62</f>
        <v/>
      </c>
      <c r="P62" s="5">
        <f>SUM(O62-M62)</f>
        <v/>
      </c>
      <c r="Q62" s="128">
        <f>R62+S62</f>
        <v/>
      </c>
      <c r="R62" s="127">
        <f>J62*(MAX(1, ROUNDUP(I62/1, 0) * 1) *COSTE!$G$3)</f>
        <v/>
      </c>
      <c r="S62" s="126">
        <f>SUM(T62:AU62)</f>
        <v/>
      </c>
      <c r="T62" s="129">
        <f>COSTE!$G$13*I62</f>
        <v/>
      </c>
      <c r="U62" s="129">
        <f>(I62/5)*COSTE!$G$4</f>
        <v/>
      </c>
      <c r="V62" s="129">
        <f>T62*30%</f>
        <v/>
      </c>
      <c r="W62" s="129">
        <f>(I62/5)*COSTE!$G$4</f>
        <v/>
      </c>
      <c r="X62" s="129">
        <f>(I62/5)*COSTE!$G$4</f>
        <v/>
      </c>
      <c r="Y62" s="129">
        <f>ROUNDUP(I62/50,0)*((COSTE!$G$20/3)+(COSTE!$G$45*1)+(COSTE!$G$4/6)+(0.5))</f>
        <v/>
      </c>
      <c r="Z62" s="129">
        <f>I62*0.02</f>
        <v/>
      </c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L62" s="190" t="n"/>
    </row>
    <row r="63">
      <c r="A63" s="1" t="inlineStr">
        <is>
          <t>Pilar</t>
        </is>
      </c>
      <c r="B63" s="1" t="inlineStr">
        <is>
          <t>Pilar</t>
        </is>
      </c>
      <c r="C63" s="1" t="inlineStr">
        <is>
          <t>Mel. Especial / Chopo</t>
        </is>
      </c>
      <c r="D63" s="2" t="inlineStr">
        <is>
          <t>Pilar  (Estandar 0,15m)</t>
        </is>
      </c>
      <c r="E63" s="17" t="n"/>
      <c r="F63" s="119" t="n">
        <v>0</v>
      </c>
      <c r="G63" s="119" t="n">
        <v>0</v>
      </c>
      <c r="H63" s="119" t="n">
        <v>0</v>
      </c>
      <c r="I63" s="5">
        <f>((F63*G63)*2)+((F63*H63)*2)</f>
        <v/>
      </c>
      <c r="J63" s="6" t="n">
        <v>0</v>
      </c>
      <c r="K63" s="19" t="n">
        <v>150</v>
      </c>
      <c r="L63" s="188">
        <f>IFERROR(ROUNDUP((Q63/I63)/0.5,0)*0.5,0)</f>
        <v/>
      </c>
      <c r="M63" s="5">
        <f>IF(I63=0,J63*K63,I63*J63*K63)</f>
        <v/>
      </c>
      <c r="N63" s="38">
        <f>$N$69</f>
        <v/>
      </c>
      <c r="O63" s="39">
        <f>SUM(M63*N63)+M63</f>
        <v/>
      </c>
      <c r="P63" s="5">
        <f>SUM(O63-M63)</f>
        <v/>
      </c>
      <c r="Q63" s="128">
        <f>R63+S63</f>
        <v/>
      </c>
      <c r="R63" s="127">
        <f>J63*(MAX(1, ROUNDUP(I63/1, 0) * 1) *COSTE!$G$3)</f>
        <v/>
      </c>
      <c r="S63" s="126">
        <f>SUM(T63:AU63)</f>
        <v/>
      </c>
      <c r="T63" s="129">
        <f>COSTE!$G$34*I63</f>
        <v/>
      </c>
      <c r="U63" s="129">
        <f>(I63/5)*COSTE!$G$4</f>
        <v/>
      </c>
      <c r="V63" s="129">
        <f>T63*30%</f>
        <v/>
      </c>
      <c r="W63" s="129">
        <f>(I63/5)*COSTE!$G$4</f>
        <v/>
      </c>
      <c r="X63" s="129">
        <f>(I63/5)*COSTE!$G$4</f>
        <v/>
      </c>
      <c r="Y63" s="129">
        <f>ROUNDUP(I63/50,0)*((COSTE!$G$20/3)+(COSTE!$G$45*1)+(COSTE!$G$4/6)+(0.5))</f>
        <v/>
      </c>
      <c r="Z63" s="129">
        <f>I63*0.02</f>
        <v/>
      </c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L63" s="190" t="n"/>
    </row>
    <row r="64" customFormat="1" s="191">
      <c r="A64" s="22" t="n"/>
      <c r="B64" s="22" t="n"/>
      <c r="C64" s="22" t="n"/>
      <c r="D64" s="22" t="n"/>
      <c r="E64" s="22" t="n"/>
      <c r="F64" s="8" t="n"/>
      <c r="G64" s="8" t="n"/>
      <c r="H64" s="8" t="n"/>
      <c r="I64" s="8" t="n"/>
      <c r="J64" s="8" t="n"/>
      <c r="K64" s="8" t="inlineStr">
        <is>
          <t>TOTAL PILAR</t>
        </is>
      </c>
      <c r="L64" s="144" t="n"/>
      <c r="M64" s="9">
        <f>SUM(M61:M63)</f>
        <v/>
      </c>
      <c r="N64" s="18">
        <f>$N$2</f>
        <v/>
      </c>
      <c r="O64" s="9">
        <f>SUM(O61:O63)</f>
        <v/>
      </c>
      <c r="P64" s="9">
        <f>SUM(P61:P63)</f>
        <v/>
      </c>
      <c r="Q64" s="9">
        <f>SUM(Q61:Q63)</f>
        <v/>
      </c>
      <c r="R64" s="9" t="n"/>
      <c r="S64" s="9">
        <f>SUM(S61:S63)</f>
        <v/>
      </c>
      <c r="T64" s="131" t="n"/>
      <c r="U64" s="131" t="n"/>
      <c r="V64" s="131" t="n"/>
      <c r="W64" s="131" t="n"/>
      <c r="X64" s="131" t="n"/>
      <c r="Y64" s="131" t="n"/>
      <c r="Z64" s="131" t="n"/>
      <c r="AA64" s="131" t="n"/>
      <c r="AB64" s="131" t="n"/>
      <c r="AC64" s="131" t="n"/>
      <c r="AD64" s="131" t="n"/>
      <c r="AE64" s="131" t="n"/>
      <c r="AF64" s="131" t="n"/>
      <c r="AG64" s="131" t="n"/>
      <c r="AH64" s="131" t="n"/>
      <c r="AI64" s="131" t="n"/>
      <c r="AL64" s="191" t="n"/>
    </row>
    <row r="65">
      <c r="A65" s="104" t="inlineStr">
        <is>
          <t>FAMILIA</t>
        </is>
      </c>
      <c r="B65" s="104" t="inlineStr">
        <is>
          <t>SUB F.</t>
        </is>
      </c>
      <c r="C65" s="104" t="inlineStr">
        <is>
          <t>MATERIAL</t>
        </is>
      </c>
      <c r="D65" s="100" t="inlineStr">
        <is>
          <t>PODIUM</t>
        </is>
      </c>
      <c r="E65" s="100" t="inlineStr">
        <is>
          <t>COMENTARIOS</t>
        </is>
      </c>
      <c r="F65" s="99" t="inlineStr">
        <is>
          <t>Largo</t>
        </is>
      </c>
      <c r="G65" s="99" t="inlineStr">
        <is>
          <t>Ancho</t>
        </is>
      </c>
      <c r="H65" s="99" t="inlineStr">
        <is>
          <t>Alto</t>
        </is>
      </c>
      <c r="I65" s="101" t="inlineStr">
        <is>
          <t>m3</t>
        </is>
      </c>
      <c r="J65" s="106" t="inlineStr">
        <is>
          <t>UDS</t>
        </is>
      </c>
      <c r="K65" s="101" t="inlineStr">
        <is>
          <t>€/m3</t>
        </is>
      </c>
      <c r="L65" s="142" t="inlineStr">
        <is>
          <t>€/Uni Real</t>
        </is>
      </c>
      <c r="M65" s="101" t="inlineStr">
        <is>
          <t>€/Empresa</t>
        </is>
      </c>
      <c r="N65" s="102" t="inlineStr">
        <is>
          <t>Markup %</t>
        </is>
      </c>
      <c r="O65" s="101" t="inlineStr">
        <is>
          <t>€ TOTAL</t>
        </is>
      </c>
      <c r="P65" s="101" t="inlineStr">
        <is>
          <t>BEN.EMP</t>
        </is>
      </c>
      <c r="Q65" s="122" t="inlineStr">
        <is>
          <t>COSTE TOT</t>
        </is>
      </c>
      <c r="R65" s="136" t="inlineStr">
        <is>
          <t>Diseño (1m3/2h)</t>
        </is>
      </c>
      <c r="S65" s="109" t="inlineStr">
        <is>
          <t xml:space="preserve">COSTE MAT </t>
        </is>
      </c>
      <c r="T65" s="116" t="inlineStr">
        <is>
          <t xml:space="preserve">Tableros </t>
        </is>
      </c>
      <c r="U65" s="111" t="inlineStr">
        <is>
          <t>(10/5 m2/h)  Corte</t>
        </is>
      </c>
      <c r="V65" s="111" t="inlineStr">
        <is>
          <t>Merma 30%</t>
        </is>
      </c>
      <c r="W65" s="147" t="inlineStr">
        <is>
          <t>(0,75m3/h) T. Fabricación</t>
        </is>
      </c>
      <c r="X65" s="111" t="inlineStr">
        <is>
          <t>(5m2/h) T. Paletizacion</t>
        </is>
      </c>
      <c r="Y65" s="110" t="inlineStr">
        <is>
          <t>Palets</t>
        </is>
      </c>
      <c r="Z65" s="111" t="inlineStr">
        <is>
          <t>Tornilleria</t>
        </is>
      </c>
      <c r="AA65" s="112" t="n"/>
      <c r="AB65" s="112" t="n"/>
      <c r="AC65" s="112" t="n"/>
      <c r="AD65" s="112" t="n"/>
      <c r="AE65" s="112" t="n"/>
      <c r="AF65" s="112" t="n"/>
      <c r="AG65" s="112" t="n"/>
      <c r="AH65" s="112" t="n"/>
      <c r="AI65" s="112" t="n"/>
    </row>
    <row r="66">
      <c r="A66" s="1" t="inlineStr">
        <is>
          <t>Podium</t>
        </is>
      </c>
      <c r="B66" s="1" t="inlineStr">
        <is>
          <t>Podium</t>
        </is>
      </c>
      <c r="C66" s="1" t="inlineStr">
        <is>
          <t>Aglomerado</t>
        </is>
      </c>
      <c r="D66" s="2" t="inlineStr">
        <is>
          <t>Podium</t>
        </is>
      </c>
      <c r="E66" s="20" t="inlineStr">
        <is>
          <t>*Lo paso a m3 el precio</t>
        </is>
      </c>
      <c r="F66" s="119" t="n">
        <v>0</v>
      </c>
      <c r="G66" s="119" t="n">
        <v>0</v>
      </c>
      <c r="H66" s="119" t="n">
        <v>0</v>
      </c>
      <c r="I66" s="5">
        <f>F66*G66*H66</f>
        <v/>
      </c>
      <c r="J66" s="6" t="n">
        <v>0</v>
      </c>
      <c r="K66" s="10" t="n">
        <v>220</v>
      </c>
      <c r="L66" s="188">
        <f>IFERROR(ROUNDUP((Q66/I66)/0.5,0)*0.5,0)</f>
        <v/>
      </c>
      <c r="M66" s="5">
        <f>IF(I66=0,J66*K66,I66*J66*K66)</f>
        <v/>
      </c>
      <c r="N66" s="38">
        <f>$N$69</f>
        <v/>
      </c>
      <c r="O66" s="39">
        <f>SUM(M66*N66)+M66</f>
        <v/>
      </c>
      <c r="P66" s="5">
        <f>SUM(O66-M66)</f>
        <v/>
      </c>
      <c r="Q66" s="128">
        <f>R66+S66</f>
        <v/>
      </c>
      <c r="R66" s="127">
        <f>J66*(MAX(1, ROUNDUP(I66/1, 0) * 2) *COSTE!$G$3)</f>
        <v/>
      </c>
      <c r="S66" s="126">
        <f>SUM(T66:AU66)</f>
        <v/>
      </c>
      <c r="T66" s="129">
        <f>COSTE!$G$20*(((F66*G66)*2)+((F66*H66)*2)+(F66*G66))</f>
        <v/>
      </c>
      <c r="U66" s="129">
        <f>((((F66*G66)*2)+((F66*H66)*2)+(F66*G66))/10)*COSTE!$G$4</f>
        <v/>
      </c>
      <c r="V66" s="129">
        <f>T66*30%</f>
        <v/>
      </c>
      <c r="W66" s="129">
        <f>(I66/1)*COSTE!$G$4</f>
        <v/>
      </c>
      <c r="X66" s="129">
        <f>(I66/5)*COSTE!$G$4</f>
        <v/>
      </c>
      <c r="Y66" s="129">
        <f>ROUNDUP(I66/50,0)*((COSTE!$G$20/3)+(COSTE!$G$45*1)+(COSTE!$G$4/6)+(0.5))</f>
        <v/>
      </c>
      <c r="Z66" s="129">
        <f>I66*0.02</f>
        <v/>
      </c>
      <c r="AA66" s="112" t="n"/>
      <c r="AB66" s="112" t="n"/>
      <c r="AC66" s="112" t="n"/>
      <c r="AD66" s="112" t="n"/>
      <c r="AE66" s="112" t="n"/>
      <c r="AF66" s="112" t="n"/>
      <c r="AG66" s="112" t="n"/>
      <c r="AH66" s="112" t="n"/>
      <c r="AI66" s="112" t="n"/>
      <c r="AL66" s="190" t="n"/>
    </row>
    <row r="67" ht="14" customHeight="1" s="192">
      <c r="A67" s="1" t="inlineStr">
        <is>
          <t>Podium</t>
        </is>
      </c>
      <c r="B67" s="1" t="inlineStr">
        <is>
          <t>Podium</t>
        </is>
      </c>
      <c r="C67" s="1" t="inlineStr">
        <is>
          <t>Melamina</t>
        </is>
      </c>
      <c r="D67" s="2" t="inlineStr">
        <is>
          <t>Podium</t>
        </is>
      </c>
      <c r="E67" s="20" t="inlineStr">
        <is>
          <t>*Lo paso a m3 el precio</t>
        </is>
      </c>
      <c r="F67" s="119" t="n">
        <v>0</v>
      </c>
      <c r="G67" s="119" t="n">
        <v>0</v>
      </c>
      <c r="H67" s="119" t="n">
        <v>0</v>
      </c>
      <c r="I67" s="5">
        <f>F67*G67*H67</f>
        <v/>
      </c>
      <c r="J67" s="6" t="n">
        <v>0</v>
      </c>
      <c r="K67" s="10" t="n">
        <v>250</v>
      </c>
      <c r="L67" s="188">
        <f>IFERROR(ROUNDUP((Q67/I67)/0.5,0)*0.5,0)</f>
        <v/>
      </c>
      <c r="M67" s="5">
        <f>IF(I67=0,J67*K67,I67*J67*K67)</f>
        <v/>
      </c>
      <c r="N67" s="38">
        <f>$N$69</f>
        <v/>
      </c>
      <c r="O67" s="39">
        <f>SUM(M67*N67)+M67</f>
        <v/>
      </c>
      <c r="P67" s="5">
        <f>SUM(O67-M67)</f>
        <v/>
      </c>
      <c r="Q67" s="128">
        <f>R67+S67</f>
        <v/>
      </c>
      <c r="R67" s="127">
        <f>J67*(MAX(1, ROUNDUP(I67/1, 0) * 2) *COSTE!$G$3)</f>
        <v/>
      </c>
      <c r="S67" s="126">
        <f>SUM(T67:AU67)</f>
        <v/>
      </c>
      <c r="T67" s="129">
        <f>COSTE!$G$13*(((F67*G67)*2)+((F67*H67)*2)+(F67*G67))</f>
        <v/>
      </c>
      <c r="U67" s="129">
        <f>((((F67*G67)*2)+((F67*H67)*2)+(F67*G67))/5)*COSTE!$G$4</f>
        <v/>
      </c>
      <c r="V67" s="129">
        <f>T67*30%</f>
        <v/>
      </c>
      <c r="W67" s="129">
        <f>(I67/0.75)*COSTE!$G$4</f>
        <v/>
      </c>
      <c r="X67" s="129">
        <f>(I67/5)*COSTE!$G$4</f>
        <v/>
      </c>
      <c r="Y67" s="129">
        <f>ROUNDUP(I67/50,0)*((COSTE!$G$20/3)+(COSTE!$G$45*1)+(COSTE!$G$4/6)+(0.5))</f>
        <v/>
      </c>
      <c r="Z67" s="129">
        <f>I67*0.02</f>
        <v/>
      </c>
      <c r="AA67" s="112" t="n"/>
      <c r="AB67" s="112" t="n"/>
      <c r="AC67" s="112" t="n"/>
      <c r="AD67" s="112" t="n"/>
      <c r="AE67" s="112" t="n"/>
      <c r="AF67" s="112" t="n"/>
      <c r="AG67" s="112" t="n"/>
      <c r="AH67" s="112" t="n"/>
      <c r="AI67" s="112" t="n"/>
      <c r="AL67" s="190" t="n"/>
    </row>
    <row r="68" ht="14" customHeight="1" s="192">
      <c r="A68" s="1" t="inlineStr">
        <is>
          <t>Podium</t>
        </is>
      </c>
      <c r="B68" s="1" t="inlineStr">
        <is>
          <t>Podium</t>
        </is>
      </c>
      <c r="C68" s="1" t="inlineStr">
        <is>
          <t>Mel. Especial / Chopo</t>
        </is>
      </c>
      <c r="D68" s="2" t="inlineStr">
        <is>
          <t>Podium</t>
        </is>
      </c>
      <c r="E68" s="20" t="inlineStr">
        <is>
          <t>*Lo paso a m3 el precio</t>
        </is>
      </c>
      <c r="F68" s="119" t="n">
        <v>0</v>
      </c>
      <c r="G68" s="119" t="n">
        <v>0</v>
      </c>
      <c r="H68" s="119" t="n">
        <v>0</v>
      </c>
      <c r="I68" s="5">
        <f>F68*G68*H68</f>
        <v/>
      </c>
      <c r="J68" s="6" t="n">
        <v>0</v>
      </c>
      <c r="K68" s="10" t="n">
        <v>300</v>
      </c>
      <c r="L68" s="188">
        <f>IFERROR(ROUNDUP((Q68/I68)/0.5,0)*0.5,0)</f>
        <v/>
      </c>
      <c r="M68" s="5">
        <f>IF(I68=0,J68*K68,I68*J68*K68)</f>
        <v/>
      </c>
      <c r="N68" s="38">
        <f>$N$69</f>
        <v/>
      </c>
      <c r="O68" s="39">
        <f>SUM(M68*N68)+M68</f>
        <v/>
      </c>
      <c r="P68" s="5">
        <f>SUM(O68-M68)</f>
        <v/>
      </c>
      <c r="Q68" s="128">
        <f>R68+S68</f>
        <v/>
      </c>
      <c r="R68" s="127">
        <f>J68*(MAX(1, ROUNDUP(I68/1, 0) * 2) *COSTE!$G$3)</f>
        <v/>
      </c>
      <c r="S68" s="126">
        <f>SUM(T68:AU68)</f>
        <v/>
      </c>
      <c r="T68" s="129">
        <f>COSTE!$G$34*(((F68*G68)*2)+((F68*H68)*2)+(F68*G68))</f>
        <v/>
      </c>
      <c r="U68" s="129">
        <f>((((F68*G68)*2)+((F68*H68)*2)+(F68*G68))/5)*COSTE!$G$4</f>
        <v/>
      </c>
      <c r="V68" s="129">
        <f>T68*30%</f>
        <v/>
      </c>
      <c r="W68" s="129">
        <f>(I68/0.75)*COSTE!$G$4</f>
        <v/>
      </c>
      <c r="X68" s="129">
        <f>(I68/5)*COSTE!$G$4</f>
        <v/>
      </c>
      <c r="Y68" s="129">
        <f>ROUNDUP(I68/50,0)*((COSTE!$G$20/3)+(COSTE!$G$45*1)+(COSTE!$G$4/6)+(0.5))</f>
        <v/>
      </c>
      <c r="Z68" s="129">
        <f>I68*0.02</f>
        <v/>
      </c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L68" s="190" t="n"/>
    </row>
    <row r="69" customFormat="1" s="191">
      <c r="A69" s="22" t="n"/>
      <c r="B69" s="22" t="n"/>
      <c r="C69" s="22" t="n"/>
      <c r="D69" s="22" t="n"/>
      <c r="E69" s="22" t="n"/>
      <c r="F69" s="8" t="n"/>
      <c r="G69" s="8" t="n"/>
      <c r="H69" s="8" t="n"/>
      <c r="I69" s="8" t="n"/>
      <c r="J69" s="8" t="n"/>
      <c r="K69" s="8" t="inlineStr">
        <is>
          <t>TOTAL PODIUMS</t>
        </is>
      </c>
      <c r="L69" s="144" t="n"/>
      <c r="M69" s="9">
        <f>SUM(M66:M68)</f>
        <v/>
      </c>
      <c r="N69" s="18">
        <f>$N$2</f>
        <v/>
      </c>
      <c r="O69" s="9">
        <f>SUM(O66:O68)</f>
        <v/>
      </c>
      <c r="P69" s="9">
        <f>SUM(P66:P68)</f>
        <v/>
      </c>
      <c r="Q69" s="9">
        <f>SUM(Q66:Q68)</f>
        <v/>
      </c>
      <c r="R69" s="9" t="n"/>
      <c r="S69" s="9">
        <f>SUM(S66:S68)</f>
        <v/>
      </c>
      <c r="T69" s="131" t="n"/>
      <c r="U69" s="131" t="n"/>
      <c r="V69" s="131" t="n"/>
      <c r="W69" s="131" t="n"/>
      <c r="X69" s="131" t="n"/>
      <c r="Y69" s="131" t="n"/>
      <c r="Z69" s="131" t="n"/>
      <c r="AA69" s="131" t="n"/>
      <c r="AB69" s="131" t="n"/>
      <c r="AC69" s="131" t="n"/>
      <c r="AD69" s="131" t="n"/>
      <c r="AE69" s="131" t="n"/>
      <c r="AF69" s="131" t="n"/>
      <c r="AG69" s="131" t="n"/>
      <c r="AH69" s="131" t="n"/>
      <c r="AI69" s="131" t="n"/>
      <c r="AL69" s="191" t="n"/>
    </row>
    <row r="70">
      <c r="A70" s="104" t="inlineStr">
        <is>
          <t>FAMILIA</t>
        </is>
      </c>
      <c r="B70" s="104" t="inlineStr">
        <is>
          <t>SUB F.</t>
        </is>
      </c>
      <c r="C70" s="104" t="inlineStr">
        <is>
          <t>MATERIAL</t>
        </is>
      </c>
      <c r="D70" s="100" t="inlineStr">
        <is>
          <t>TECHOS</t>
        </is>
      </c>
      <c r="E70" s="100" t="inlineStr">
        <is>
          <t>COMENTARIOS</t>
        </is>
      </c>
      <c r="F70" s="99" t="inlineStr">
        <is>
          <t>Largo</t>
        </is>
      </c>
      <c r="G70" s="99" t="inlineStr">
        <is>
          <t>Ancho</t>
        </is>
      </c>
      <c r="H70" s="99" t="inlineStr">
        <is>
          <t>Alto</t>
        </is>
      </c>
      <c r="I70" s="101" t="inlineStr">
        <is>
          <t>m2</t>
        </is>
      </c>
      <c r="J70" s="106" t="inlineStr">
        <is>
          <t>UDS</t>
        </is>
      </c>
      <c r="K70" s="101" t="inlineStr">
        <is>
          <t>€/m3</t>
        </is>
      </c>
      <c r="L70" s="142" t="inlineStr">
        <is>
          <t>€/m2 Real</t>
        </is>
      </c>
      <c r="M70" s="101" t="inlineStr">
        <is>
          <t>€/Empresa</t>
        </is>
      </c>
      <c r="N70" s="102" t="inlineStr">
        <is>
          <t>Markup %</t>
        </is>
      </c>
      <c r="O70" s="101" t="inlineStr">
        <is>
          <t>€ TOTAL</t>
        </is>
      </c>
      <c r="P70" s="101" t="inlineStr">
        <is>
          <t>BEN.EMP</t>
        </is>
      </c>
      <c r="Q70" s="122" t="inlineStr">
        <is>
          <t>COSTE TOT</t>
        </is>
      </c>
      <c r="R70" s="136" t="inlineStr">
        <is>
          <t>Diseño (50-20m2/6-1h)</t>
        </is>
      </c>
      <c r="S70" s="109" t="inlineStr">
        <is>
          <t xml:space="preserve">COSTE MAT </t>
        </is>
      </c>
      <c r="T70" s="113" t="inlineStr">
        <is>
          <t xml:space="preserve">Tableros </t>
        </is>
      </c>
      <c r="U70" s="110" t="inlineStr">
        <is>
          <t>(20m2/h)  Corte</t>
        </is>
      </c>
      <c r="V70" s="110" t="inlineStr">
        <is>
          <t>Merma 20%</t>
        </is>
      </c>
      <c r="W70" s="111" t="inlineStr">
        <is>
          <t>Estructura</t>
        </is>
      </c>
      <c r="X70" s="116" t="inlineStr">
        <is>
          <t>(18ml/h)  Corte</t>
        </is>
      </c>
      <c r="Y70" s="116" t="inlineStr">
        <is>
          <t>Merma 20%</t>
        </is>
      </c>
      <c r="Z70" s="147" t="inlineStr">
        <is>
          <t>(5/4m2/h) T. Fabricación</t>
        </is>
      </c>
      <c r="AA70" s="111" t="inlineStr">
        <is>
          <t>(50m2/h) T. Paletizacion</t>
        </is>
      </c>
      <c r="AB70" s="110" t="inlineStr">
        <is>
          <t>Palets</t>
        </is>
      </c>
      <c r="AC70" s="111" t="inlineStr">
        <is>
          <t>Tornilleria</t>
        </is>
      </c>
      <c r="AD70" s="117" t="inlineStr">
        <is>
          <t>Material</t>
        </is>
      </c>
      <c r="AE70" s="112" t="n"/>
      <c r="AF70" s="112" t="n"/>
      <c r="AG70" s="112" t="n"/>
      <c r="AH70" s="112" t="n"/>
      <c r="AI70" s="112" t="n"/>
    </row>
    <row r="71">
      <c r="A71" s="1" t="inlineStr">
        <is>
          <t>Techos</t>
        </is>
      </c>
      <c r="B71" s="1" t="inlineStr">
        <is>
          <t>Techos</t>
        </is>
      </c>
      <c r="C71" s="1" t="inlineStr">
        <is>
          <t>Chopo + Pino</t>
        </is>
      </c>
      <c r="D71" s="1" t="inlineStr">
        <is>
          <t>Techo Bastidor pino Chopo 5mm</t>
        </is>
      </c>
      <c r="E71" s="17" t="n"/>
      <c r="F71" s="119" t="n">
        <v>0</v>
      </c>
      <c r="G71" s="119" t="n">
        <v>0</v>
      </c>
      <c r="H71" s="119" t="n">
        <v>0</v>
      </c>
      <c r="I71" s="5">
        <f>F71*G71</f>
        <v/>
      </c>
      <c r="J71" s="6" t="n">
        <v>0</v>
      </c>
      <c r="K71" s="132" t="n">
        <v>28</v>
      </c>
      <c r="L71" s="188">
        <f>IFERROR(ROUNDUP((Q71/I71)/0.5,0)*0.5,0)</f>
        <v/>
      </c>
      <c r="M71" s="5">
        <f>IF(I71=0,J71*K71,I71*J71*K71)</f>
        <v/>
      </c>
      <c r="N71" s="38">
        <f>$N$74</f>
        <v/>
      </c>
      <c r="O71" s="39">
        <f>SUM(M71*N71)+M71</f>
        <v/>
      </c>
      <c r="P71" s="5">
        <f>SUM(O71-M71)</f>
        <v/>
      </c>
      <c r="Q71" s="128">
        <f>R71+S71</f>
        <v/>
      </c>
      <c r="R71" s="127">
        <f>J71*(MAX(1,ROUNDUP(I71/50,0)*6)*COSTE!$G$3)</f>
        <v/>
      </c>
      <c r="S71" s="126">
        <f>SUM(T71:AU71)</f>
        <v/>
      </c>
      <c r="T71" s="129">
        <f>((F71*G71)+((F71*H71)*2)+((G71*H71)*2))*COSTE!$G$30</f>
        <v/>
      </c>
      <c r="U71" s="129">
        <f>(((F71*G71)+((F71*H71)*2)+((G71*H71)*2))/20)*COSTE!$G$4</f>
        <v/>
      </c>
      <c r="V71" s="129">
        <f>T71*20%</f>
        <v/>
      </c>
      <c r="W71" s="129">
        <f>(((F71+H71)*2)+((G71+H71)*2)+(H71*F71)+(G71*H71))*COSTE!$G$41</f>
        <v/>
      </c>
      <c r="X71" s="129">
        <f>((((F71+H71)*2)+((G71+H71)*2)+(H71*F71)+(G71*H71))/18)*COSTE!$G$4</f>
        <v/>
      </c>
      <c r="Y71" s="129">
        <f>W71*20%</f>
        <v/>
      </c>
      <c r="Z71" s="129">
        <f>(I71/5)*COSTE!$G$4</f>
        <v/>
      </c>
      <c r="AA71" s="129">
        <f>(I71/50)*COSTE!$G$4</f>
        <v/>
      </c>
      <c r="AB71" s="129">
        <f>ROUNDUP(I71/50,0)*((COSTE!$G$20/3)+(COSTE!$G$45*1)+(COSTE!$G$4/6)+(0.5))</f>
        <v/>
      </c>
      <c r="AC71" s="129">
        <f>I71*0.01</f>
        <v/>
      </c>
      <c r="AD71" s="112" t="n"/>
      <c r="AE71" s="112" t="n"/>
      <c r="AF71" s="112" t="n"/>
      <c r="AG71" s="112" t="n"/>
      <c r="AH71" s="112" t="n"/>
      <c r="AI71" s="112" t="n"/>
      <c r="AL71" s="190" t="n"/>
    </row>
    <row r="72">
      <c r="A72" s="1" t="inlineStr">
        <is>
          <t>Techos</t>
        </is>
      </c>
      <c r="B72" s="1" t="inlineStr">
        <is>
          <t>Techos</t>
        </is>
      </c>
      <c r="C72" s="1" t="inlineStr">
        <is>
          <t>Chopo</t>
        </is>
      </c>
      <c r="D72" s="1" t="inlineStr">
        <is>
          <t>Chopo de 15mm + Chopo de 5mm</t>
        </is>
      </c>
      <c r="E72" s="20" t="n"/>
      <c r="F72" s="119" t="n">
        <v>0</v>
      </c>
      <c r="G72" s="119" t="n">
        <v>0</v>
      </c>
      <c r="H72" s="119" t="n">
        <v>0</v>
      </c>
      <c r="I72" s="5">
        <f>F72*G72</f>
        <v/>
      </c>
      <c r="J72" s="6" t="n">
        <v>0</v>
      </c>
      <c r="K72" s="132" t="n">
        <v>25</v>
      </c>
      <c r="L72" s="188">
        <f>IFERROR(ROUNDUP((Q72/I72)/0.5,0)*0.5,0)</f>
        <v/>
      </c>
      <c r="M72" s="5">
        <f>IF(I72=0,J72*K72,I72*J72*K72)</f>
        <v/>
      </c>
      <c r="N72" s="38">
        <f>$N$74</f>
        <v/>
      </c>
      <c r="O72" s="39">
        <f>SUM(M72*N72)+M72</f>
        <v/>
      </c>
      <c r="P72" s="5">
        <f>SUM(O72-M72)</f>
        <v/>
      </c>
      <c r="Q72" s="128">
        <f>R72+S72</f>
        <v/>
      </c>
      <c r="R72" s="127">
        <f>J72*(MAX(1,ROUNDUP(I72/50,0)*6)*COSTE!$G$3)</f>
        <v/>
      </c>
      <c r="S72" s="126">
        <f>SUM(T72:AU72)</f>
        <v/>
      </c>
      <c r="T72" s="129">
        <f>(((F72*G72)*COSTE!$G$30))+(((F72*H72)*2)+((G72*H72)*2)+((F72*H72)*G72)*COSTE!$G$34)</f>
        <v/>
      </c>
      <c r="U72" s="129">
        <f>(((F72*G72)+((F72*H72)*2)+((G72*H72)*2)+((F72*H72)*G72))/20)*COSTE!$G$4</f>
        <v/>
      </c>
      <c r="V72" s="129">
        <f>T72*20%</f>
        <v/>
      </c>
      <c r="W72" s="112" t="n"/>
      <c r="X72" s="112" t="n"/>
      <c r="Y72" s="112" t="n"/>
      <c r="Z72" s="129">
        <f>(I72/4)*COSTE!$G$4</f>
        <v/>
      </c>
      <c r="AA72" s="129">
        <f>(I72/50)*COSTE!$G$4</f>
        <v/>
      </c>
      <c r="AB72" s="129">
        <f>ROUNDUP(I72/50,0)*((COSTE!$G$20/3)+(COSTE!$G$45*1)+(COSTE!$G$4/6)+(0.5))</f>
        <v/>
      </c>
      <c r="AC72" s="129">
        <f>I72*0.01</f>
        <v/>
      </c>
      <c r="AD72" s="112" t="n"/>
      <c r="AE72" s="112" t="n"/>
      <c r="AF72" s="112" t="n"/>
      <c r="AG72" s="112" t="n"/>
      <c r="AH72" s="112" t="n"/>
      <c r="AI72" s="112" t="n"/>
      <c r="AL72" s="190" t="n"/>
    </row>
    <row r="73">
      <c r="A73" s="1" t="inlineStr">
        <is>
          <t>Techos</t>
        </is>
      </c>
      <c r="B73" s="1" t="inlineStr">
        <is>
          <t>Aislante</t>
        </is>
      </c>
      <c r="C73" s="1" t="inlineStr">
        <is>
          <t>Lana Roca</t>
        </is>
      </c>
      <c r="D73" s="1" t="inlineStr">
        <is>
          <t>Panel acustico</t>
        </is>
      </c>
      <c r="E73" s="17" t="n"/>
      <c r="F73" s="119" t="n">
        <v>0</v>
      </c>
      <c r="G73" s="119" t="n">
        <v>0</v>
      </c>
      <c r="H73" s="25" t="n"/>
      <c r="I73" s="5">
        <f>F73*G73</f>
        <v/>
      </c>
      <c r="J73" s="6" t="n">
        <v>0</v>
      </c>
      <c r="K73" s="5" t="n">
        <v>3</v>
      </c>
      <c r="L73" s="188">
        <f>IFERROR(ROUNDUP((Q73/I73)/0.5,0)*0.5,0)</f>
        <v/>
      </c>
      <c r="M73" s="5">
        <f>IF(I73=0,J73*K73,I73*J73*K73)</f>
        <v/>
      </c>
      <c r="N73" s="38">
        <f>$N$46</f>
        <v/>
      </c>
      <c r="O73" s="39">
        <f>SUM(M73*N73)+M73</f>
        <v/>
      </c>
      <c r="P73" s="5">
        <f>SUM(O73-M73)</f>
        <v/>
      </c>
      <c r="Q73" s="128">
        <f>R73+S73</f>
        <v/>
      </c>
      <c r="R73" s="127">
        <f>J73*(MAX(1, ROUNDUP(I73/20, 0) *1) *COSTE!$G$3)</f>
        <v/>
      </c>
      <c r="S73" s="126">
        <f>SUM(T73:AU73)</f>
        <v/>
      </c>
      <c r="T73" s="112" t="n"/>
      <c r="U73" s="112" t="n"/>
      <c r="V73" s="112" t="n"/>
      <c r="W73" s="112" t="n"/>
      <c r="X73" s="112" t="n"/>
      <c r="Y73" s="112" t="n"/>
      <c r="Z73" s="112" t="n"/>
      <c r="AA73" s="129">
        <f>(I73/30)*COSTE!$G$5</f>
        <v/>
      </c>
      <c r="AB73" s="129">
        <f>ROUNDUP(I73/35,0)*((COSTE!$G$20/3)+(COSTE!$G$45*1)+(COSTE!$G$4/6)+(0.5))</f>
        <v/>
      </c>
      <c r="AC73" s="112" t="n"/>
      <c r="AD73" s="129">
        <f>I73*COSTE!$G$67</f>
        <v/>
      </c>
      <c r="AE73" s="112" t="n"/>
      <c r="AF73" s="112" t="n"/>
      <c r="AG73" s="112" t="n"/>
      <c r="AH73" s="112" t="n"/>
      <c r="AI73" s="112" t="n"/>
      <c r="AL73" s="190" t="n"/>
    </row>
    <row r="74" customFormat="1" s="191">
      <c r="A74" s="22" t="n"/>
      <c r="B74" s="22" t="n"/>
      <c r="C74" s="22" t="n"/>
      <c r="D74" s="22" t="n"/>
      <c r="E74" s="22" t="n"/>
      <c r="F74" s="8" t="n"/>
      <c r="G74" s="8" t="n"/>
      <c r="H74" s="8" t="n"/>
      <c r="I74" s="8" t="n"/>
      <c r="J74" s="8" t="n"/>
      <c r="K74" s="8" t="inlineStr">
        <is>
          <t>TOTAL TECHOS</t>
        </is>
      </c>
      <c r="L74" s="144" t="n"/>
      <c r="M74" s="9">
        <f>SUM(M71:M73)</f>
        <v/>
      </c>
      <c r="N74" s="18">
        <f>$N$2</f>
        <v/>
      </c>
      <c r="O74" s="9">
        <f>SUM(O71:O73)</f>
        <v/>
      </c>
      <c r="P74" s="9">
        <f>SUM(P71:P73)</f>
        <v/>
      </c>
      <c r="Q74" s="9">
        <f>SUM(Q71:Q73)</f>
        <v/>
      </c>
      <c r="R74" s="9" t="n"/>
      <c r="S74" s="9">
        <f>SUM(S71:S73)</f>
        <v/>
      </c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L74" s="191" t="n"/>
    </row>
    <row r="75">
      <c r="A75" s="104" t="inlineStr">
        <is>
          <t>FAMILIA</t>
        </is>
      </c>
      <c r="B75" s="104" t="inlineStr">
        <is>
          <t>SUB F.</t>
        </is>
      </c>
      <c r="C75" s="104" t="inlineStr">
        <is>
          <t>MATERIAL</t>
        </is>
      </c>
      <c r="D75" s="100" t="inlineStr">
        <is>
          <t>BACKLIGHTS</t>
        </is>
      </c>
      <c r="E75" s="100" t="inlineStr">
        <is>
          <t>COMENTARIOS</t>
        </is>
      </c>
      <c r="F75" s="99" t="inlineStr">
        <is>
          <t>Largo</t>
        </is>
      </c>
      <c r="G75" s="99" t="inlineStr">
        <is>
          <t>Altura</t>
        </is>
      </c>
      <c r="H75" s="99" t="inlineStr">
        <is>
          <t>Grosor</t>
        </is>
      </c>
      <c r="I75" s="101" t="inlineStr">
        <is>
          <t>m2</t>
        </is>
      </c>
      <c r="J75" s="106" t="inlineStr">
        <is>
          <t>UDS</t>
        </is>
      </c>
      <c r="K75" s="101" t="inlineStr">
        <is>
          <t>€/m2</t>
        </is>
      </c>
      <c r="L75" s="142" t="inlineStr">
        <is>
          <t>€/m2 Real</t>
        </is>
      </c>
      <c r="M75" s="101" t="inlineStr">
        <is>
          <t>€/Empresa</t>
        </is>
      </c>
      <c r="N75" s="102" t="inlineStr">
        <is>
          <t>Markup %</t>
        </is>
      </c>
      <c r="O75" s="101" t="inlineStr">
        <is>
          <t>€ TOTAL</t>
        </is>
      </c>
      <c r="P75" s="101" t="inlineStr">
        <is>
          <t>BEN.EMP</t>
        </is>
      </c>
      <c r="Q75" s="122" t="inlineStr">
        <is>
          <t>COSTE TOT</t>
        </is>
      </c>
      <c r="R75" s="136" t="inlineStr">
        <is>
          <t>Diseño (50m2/5h)</t>
        </is>
      </c>
      <c r="S75" s="109" t="inlineStr">
        <is>
          <t xml:space="preserve">COSTE MAT </t>
        </is>
      </c>
      <c r="T75" s="113" t="inlineStr">
        <is>
          <t xml:space="preserve">Tableros </t>
        </is>
      </c>
      <c r="U75" s="110" t="inlineStr">
        <is>
          <t>(20m2/h)  Corte</t>
        </is>
      </c>
      <c r="V75" s="110" t="inlineStr">
        <is>
          <t>Merma 20%</t>
        </is>
      </c>
      <c r="W75" s="111" t="inlineStr">
        <is>
          <t>Estructura</t>
        </is>
      </c>
      <c r="X75" s="116" t="inlineStr">
        <is>
          <t>(18ml/h)  Corte</t>
        </is>
      </c>
      <c r="Y75" s="116" t="inlineStr">
        <is>
          <t>Merma 20%</t>
        </is>
      </c>
      <c r="Z75" s="147" t="inlineStr">
        <is>
          <t>(4m2/h) T. Fabricación</t>
        </is>
      </c>
      <c r="AA75" s="111" t="inlineStr">
        <is>
          <t>(50m2/h) T. Paletizacion</t>
        </is>
      </c>
      <c r="AB75" s="110" t="inlineStr">
        <is>
          <t>Palets</t>
        </is>
      </c>
      <c r="AC75" s="111" t="inlineStr">
        <is>
          <t>Tornilleria</t>
        </is>
      </c>
      <c r="AD75" s="112" t="n"/>
      <c r="AE75" s="112" t="n"/>
      <c r="AF75" s="112" t="n"/>
      <c r="AG75" s="112" t="n"/>
      <c r="AH75" s="112" t="n"/>
      <c r="AI75" s="112" t="n"/>
    </row>
    <row r="76">
      <c r="A76" s="1" t="inlineStr">
        <is>
          <t>Backlights</t>
        </is>
      </c>
      <c r="B76" s="1" t="inlineStr">
        <is>
          <t>Backlights</t>
        </is>
      </c>
      <c r="C76" s="1" t="inlineStr">
        <is>
          <t>Chopo + Pino + Aglo.</t>
        </is>
      </c>
      <c r="D76" s="1" t="inlineStr">
        <is>
          <t>Backlights: Bastidor Pino+Lateral Chopo10mm+Trasera Aglo.16mm (G. Estandar 0,3m)</t>
        </is>
      </c>
      <c r="E76" s="23" t="n"/>
      <c r="F76" s="119" t="n">
        <v>0</v>
      </c>
      <c r="G76" s="119" t="n">
        <v>0</v>
      </c>
      <c r="H76" s="119" t="n">
        <v>0</v>
      </c>
      <c r="I76" s="5">
        <f>F76*G76</f>
        <v/>
      </c>
      <c r="J76" s="6" t="n">
        <v>0</v>
      </c>
      <c r="K76" s="162" t="n">
        <v>220</v>
      </c>
      <c r="L76" s="188">
        <f>IFERROR(ROUNDUP((Q76/I76)/0.5,0)*0.5,0)</f>
        <v/>
      </c>
      <c r="M76" s="5">
        <f>IF(I76=0,J76*K76,I76*J76*K76)</f>
        <v/>
      </c>
      <c r="N76" s="38">
        <f>$N$78</f>
        <v/>
      </c>
      <c r="O76" s="39">
        <f>SUM(M76*N76)+M76</f>
        <v/>
      </c>
      <c r="P76" s="5">
        <f>SUM(O76-M76)</f>
        <v/>
      </c>
      <c r="Q76" s="128">
        <f>R76+S76</f>
        <v/>
      </c>
      <c r="R76" s="127">
        <f>J76*(MAX(1, ROUNDUP(I76/50, 0) * 5) *COSTE!$G$3)</f>
        <v/>
      </c>
      <c r="S76" s="126">
        <f>SUM(T76:AU76)</f>
        <v/>
      </c>
      <c r="T76" s="129">
        <f>(((F76*G76)*COSTE!$G$20))+(((F76*H76)*2)+((G76*H76)*2)*COSTE!$G$33)</f>
        <v/>
      </c>
      <c r="U76" s="129">
        <f>(((F76*G76)+((F76*H76)*2)+((G76*H76)*2))/20)*COSTE!$G$4</f>
        <v/>
      </c>
      <c r="V76" s="129">
        <f>T76*20%</f>
        <v/>
      </c>
      <c r="W76" s="129">
        <f>(((F76+H76)*2)+((G76+H76)*2)+(H76*F76)+(G76*H76))*COSTE!$G$41</f>
        <v/>
      </c>
      <c r="X76" s="129">
        <f>((((F76*G76)*2)+((G76*F76)*2)+(H76*F76)+(G76*H76))/18)*COSTE!$G$4</f>
        <v/>
      </c>
      <c r="Y76" s="129">
        <f>W76*20%</f>
        <v/>
      </c>
      <c r="Z76" s="129">
        <f>(I76/4)*COSTE!$G$4</f>
        <v/>
      </c>
      <c r="AA76" s="129">
        <f>(I76/50)*COSTE!$G$4</f>
        <v/>
      </c>
      <c r="AB76" s="129">
        <f>ROUNDUP(I76/50,0)*((COSTE!$G$20/3)+(COSTE!$G$45*1)+(COSTE!$G$4/6)+(0.5))</f>
        <v/>
      </c>
      <c r="AC76" s="129">
        <f>I76*0.01</f>
        <v/>
      </c>
      <c r="AD76" s="112" t="n"/>
      <c r="AE76" s="112" t="n"/>
      <c r="AF76" s="112" t="n"/>
      <c r="AG76" s="112" t="n"/>
      <c r="AH76" s="112" t="n"/>
      <c r="AI76" s="112" t="n"/>
      <c r="AL76" s="190" t="n"/>
    </row>
    <row r="77">
      <c r="A77" s="1" t="inlineStr">
        <is>
          <t>Backlights</t>
        </is>
      </c>
      <c r="B77" s="1" t="inlineStr">
        <is>
          <t>Backlights</t>
        </is>
      </c>
      <c r="C77" s="1" t="inlineStr">
        <is>
          <t xml:space="preserve">Chopo + Pino </t>
        </is>
      </c>
      <c r="D77" s="1" t="inlineStr">
        <is>
          <t>Backlights Elevado:  Bastidor Pino + Lateral y trasera Chopo 10mm (G. Estandar 0,3m)</t>
        </is>
      </c>
      <c r="E77" s="23" t="n"/>
      <c r="F77" s="119" t="n">
        <v>0</v>
      </c>
      <c r="G77" s="119" t="n">
        <v>0</v>
      </c>
      <c r="H77" s="119" t="n">
        <v>0</v>
      </c>
      <c r="I77" s="5">
        <f>F77*G77</f>
        <v/>
      </c>
      <c r="J77" s="6" t="n">
        <v>0</v>
      </c>
      <c r="K77" s="162" t="n">
        <v>220</v>
      </c>
      <c r="L77" s="188">
        <f>IFERROR(ROUNDUP((Q77/I77)/0.5,0)*0.5,0)</f>
        <v/>
      </c>
      <c r="M77" s="5">
        <f>IF(I77=0,J77*K77,I77*J77*K77)</f>
        <v/>
      </c>
      <c r="N77" s="38">
        <f>$N$78</f>
        <v/>
      </c>
      <c r="O77" s="39">
        <f>SUM(M77*N77)+M77</f>
        <v/>
      </c>
      <c r="P77" s="5">
        <f>SUM(O77-M77)</f>
        <v/>
      </c>
      <c r="Q77" s="128">
        <f>R77+S77</f>
        <v/>
      </c>
      <c r="R77" s="127">
        <f>J77*(MAX(1, ROUNDUP(I77/50, 0) * 5) *COSTE!$G$3)</f>
        <v/>
      </c>
      <c r="S77" s="126">
        <f>SUM(T77:AU77)</f>
        <v/>
      </c>
      <c r="T77" s="129">
        <f>((F77*G77)+((F77*H77)*2)+((G77*H77)*2))*COSTE!$G$33</f>
        <v/>
      </c>
      <c r="U77" s="129">
        <f>(((F77*G77)+((F77*H77)*2)+((G77*H77)*2))/20)*COSTE!$G$4</f>
        <v/>
      </c>
      <c r="V77" s="129">
        <f>T77*20%</f>
        <v/>
      </c>
      <c r="W77" s="129">
        <f>(((F77+H77)*2)+((G77+H77)*2)+(H77*F77)+(G77*H77))*COSTE!$G$41</f>
        <v/>
      </c>
      <c r="X77" s="129">
        <f>((((F77*G77)*2)+((G77*F77)*2)+(H77*F77)+(G77*H77))/18)*COSTE!$G$4</f>
        <v/>
      </c>
      <c r="Y77" s="129">
        <f>W77*20%</f>
        <v/>
      </c>
      <c r="Z77" s="129">
        <f>(I77/4)*COSTE!$G$4</f>
        <v/>
      </c>
      <c r="AA77" s="129">
        <f>(I77/50)*COSTE!$G$4</f>
        <v/>
      </c>
      <c r="AB77" s="129">
        <f>ROUNDUP(I77/50,0)*((COSTE!$G$20/3)+(COSTE!$G$45*1)+(COSTE!$G$4/6)+(0.5))</f>
        <v/>
      </c>
      <c r="AC77" s="129">
        <f>I77*0.01</f>
        <v/>
      </c>
      <c r="AD77" s="112" t="n"/>
      <c r="AE77" s="112" t="n"/>
      <c r="AF77" s="112" t="n"/>
      <c r="AG77" s="112" t="n"/>
      <c r="AH77" s="112" t="n"/>
      <c r="AI77" s="112" t="n"/>
      <c r="AL77" s="190" t="n"/>
    </row>
    <row r="78" customFormat="1" s="191">
      <c r="A78" s="22" t="n"/>
      <c r="B78" s="22" t="n"/>
      <c r="C78" s="22" t="n"/>
      <c r="D78" s="22" t="n"/>
      <c r="E78" s="22" t="n"/>
      <c r="F78" s="8" t="n"/>
      <c r="G78" s="8" t="n"/>
      <c r="H78" s="8" t="n"/>
      <c r="I78" s="8" t="n"/>
      <c r="J78" s="8" t="n"/>
      <c r="K78" s="8" t="inlineStr">
        <is>
          <t>TOTAL LUMINOSOS</t>
        </is>
      </c>
      <c r="L78" s="144" t="n"/>
      <c r="M78" s="9">
        <f>SUM(M76:M77)</f>
        <v/>
      </c>
      <c r="N78" s="18">
        <f>$N$2</f>
        <v/>
      </c>
      <c r="O78" s="9">
        <f>SUM(O76:O77)</f>
        <v/>
      </c>
      <c r="P78" s="9">
        <f>SUM(P75:P77)</f>
        <v/>
      </c>
      <c r="Q78" s="9">
        <f>SUM(Q75:Q77)</f>
        <v/>
      </c>
      <c r="R78" s="9" t="n"/>
      <c r="S78" s="9">
        <f>SUM(S75:S77)</f>
        <v/>
      </c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L78" s="191" t="n"/>
    </row>
    <row r="79">
      <c r="A79" s="104" t="inlineStr">
        <is>
          <t>FAMILIA</t>
        </is>
      </c>
      <c r="B79" s="104" t="inlineStr">
        <is>
          <t>SUB F.</t>
        </is>
      </c>
      <c r="C79" s="104" t="inlineStr">
        <is>
          <t>MATERIAL</t>
        </is>
      </c>
      <c r="D79" s="100" t="inlineStr">
        <is>
          <t>LISTONES</t>
        </is>
      </c>
      <c r="E79" s="100" t="inlineStr">
        <is>
          <t>COMENTARIOS</t>
        </is>
      </c>
      <c r="F79" s="99" t="inlineStr">
        <is>
          <t>Largo</t>
        </is>
      </c>
      <c r="G79" s="99" t="inlineStr">
        <is>
          <t>Altura</t>
        </is>
      </c>
      <c r="H79" s="99" t="inlineStr">
        <is>
          <t>Grosor</t>
        </is>
      </c>
      <c r="I79" s="101" t="inlineStr">
        <is>
          <t>ml</t>
        </is>
      </c>
      <c r="J79" s="106" t="inlineStr">
        <is>
          <t>UDS</t>
        </is>
      </c>
      <c r="K79" s="101" t="inlineStr">
        <is>
          <t>€/ml</t>
        </is>
      </c>
      <c r="L79" s="142" t="inlineStr">
        <is>
          <t>€/ml Real</t>
        </is>
      </c>
      <c r="M79" s="101" t="inlineStr">
        <is>
          <t>€/Empresa</t>
        </is>
      </c>
      <c r="N79" s="102" t="inlineStr">
        <is>
          <t>Markup %</t>
        </is>
      </c>
      <c r="O79" s="101" t="inlineStr">
        <is>
          <t>€ TOTAL</t>
        </is>
      </c>
      <c r="P79" s="101" t="inlineStr">
        <is>
          <t>BEN.EMP</t>
        </is>
      </c>
      <c r="Q79" s="122" t="inlineStr">
        <is>
          <t>COSTE TOT</t>
        </is>
      </c>
      <c r="R79" s="136" t="inlineStr">
        <is>
          <t>Diseño (20ml/0,5h)</t>
        </is>
      </c>
      <c r="S79" s="109" t="inlineStr">
        <is>
          <t xml:space="preserve">COSTE MAT </t>
        </is>
      </c>
      <c r="T79" s="113" t="inlineStr">
        <is>
          <t>Listones</t>
        </is>
      </c>
      <c r="U79" s="113" t="inlineStr">
        <is>
          <t>(18ml/h)  Corte</t>
        </is>
      </c>
      <c r="V79" s="113" t="inlineStr">
        <is>
          <t>Merma 20%</t>
        </is>
      </c>
      <c r="W79" s="111" t="inlineStr">
        <is>
          <t>(20ml/h) T. Fabricación</t>
        </is>
      </c>
      <c r="X79" s="147" t="inlineStr">
        <is>
          <t>(100ml/h) T. Paletizacion</t>
        </is>
      </c>
      <c r="Y79" s="111" t="inlineStr">
        <is>
          <t>Palets</t>
        </is>
      </c>
      <c r="Z79" s="110" t="inlineStr">
        <is>
          <t>Tornilleria</t>
        </is>
      </c>
      <c r="AA79" s="111" t="inlineStr">
        <is>
          <t>Material</t>
        </is>
      </c>
      <c r="AB79" s="116" t="inlineStr">
        <is>
          <t>Merma 20%</t>
        </is>
      </c>
      <c r="AC79" s="161" t="n"/>
      <c r="AD79" s="112" t="n"/>
      <c r="AE79" s="112" t="n"/>
      <c r="AF79" s="112" t="n"/>
      <c r="AG79" s="112" t="n"/>
      <c r="AH79" s="112" t="n"/>
      <c r="AI79" s="112" t="n"/>
    </row>
    <row r="80">
      <c r="A80" s="1" t="inlineStr">
        <is>
          <t>Liston</t>
        </is>
      </c>
      <c r="B80" s="1" t="inlineStr">
        <is>
          <t>Liston</t>
        </is>
      </c>
      <c r="C80" s="1" t="inlineStr">
        <is>
          <t>Pino</t>
        </is>
      </c>
      <c r="D80" s="1" t="inlineStr">
        <is>
          <t>Liston Flandes  45*45</t>
        </is>
      </c>
      <c r="E80" s="31" t="n"/>
      <c r="F80" s="26" t="n"/>
      <c r="G80" s="26" t="n"/>
      <c r="H80" s="26" t="n"/>
      <c r="I80" s="119" t="n">
        <v>0</v>
      </c>
      <c r="J80" s="6" t="n">
        <v>0</v>
      </c>
      <c r="K80" s="187" t="n">
        <v>1.5075</v>
      </c>
      <c r="L80" s="188">
        <f>IFERROR(ROUNDUP((Q80/I80)/0.5,0)*0.5,0)</f>
        <v/>
      </c>
      <c r="M80" s="5">
        <f>IF(I80=0,J80*K80,I80*J80*K80)</f>
        <v/>
      </c>
      <c r="N80" s="38">
        <f>$N$87</f>
        <v/>
      </c>
      <c r="O80" s="39">
        <f>SUM(M80*N80)+M80</f>
        <v/>
      </c>
      <c r="P80" s="5">
        <f>SUM(O80-M80)</f>
        <v/>
      </c>
      <c r="Q80" s="128">
        <f>R80+S80</f>
        <v/>
      </c>
      <c r="R80" s="127">
        <f>J80*(MAX(0.5, ROUNDUP(I80/20, 0) * 0.5) *COSTE!$G$3)</f>
        <v/>
      </c>
      <c r="S80" s="126">
        <f>SUM(T80:AU80)</f>
        <v/>
      </c>
      <c r="T80" s="129">
        <f>I80*COSTE!$G$42</f>
        <v/>
      </c>
      <c r="U80" s="129">
        <f>(I80/18)*COSTE!$G$4</f>
        <v/>
      </c>
      <c r="V80" s="129">
        <f>T80*20%</f>
        <v/>
      </c>
      <c r="W80" s="129">
        <f>(I80/20)*COSTE!$G$4</f>
        <v/>
      </c>
      <c r="X80" s="129">
        <f>(I80/100)*COSTE!$G$4</f>
        <v/>
      </c>
      <c r="Y80" s="129">
        <f>ROUNDUP(I80/100,0)*((COSTE!$G$20/3)+(COSTE!$G$45*1)+(COSTE!$G$4/6)+(0.5))</f>
        <v/>
      </c>
      <c r="Z80" s="129">
        <f>I80*0.01</f>
        <v/>
      </c>
      <c r="AA80" s="112" t="n"/>
      <c r="AB80" s="112" t="n"/>
      <c r="AC80" s="112" t="n"/>
      <c r="AD80" s="112" t="n"/>
      <c r="AE80" s="112" t="n"/>
      <c r="AF80" s="112" t="n"/>
      <c r="AG80" s="112" t="n"/>
      <c r="AH80" s="112" t="n"/>
      <c r="AI80" s="112" t="n"/>
      <c r="AL80" s="193" t="n"/>
    </row>
    <row r="81">
      <c r="A81" s="1" t="inlineStr">
        <is>
          <t>Liston</t>
        </is>
      </c>
      <c r="B81" s="1" t="inlineStr">
        <is>
          <t>Liston</t>
        </is>
      </c>
      <c r="C81" s="1" t="inlineStr">
        <is>
          <t>Pino</t>
        </is>
      </c>
      <c r="D81" s="1" t="inlineStr">
        <is>
          <t>Liston Flandes  45*70</t>
        </is>
      </c>
      <c r="E81" s="31" t="n"/>
      <c r="F81" s="26" t="n"/>
      <c r="G81" s="26" t="n"/>
      <c r="H81" s="26" t="n"/>
      <c r="I81" s="119" t="n">
        <v>0</v>
      </c>
      <c r="J81" s="6" t="n">
        <v>0</v>
      </c>
      <c r="K81" s="187" t="n">
        <v>1.8</v>
      </c>
      <c r="L81" s="188">
        <f>IFERROR(ROUNDUP((Q81/I81)/0.5,0)*0.5,0)</f>
        <v/>
      </c>
      <c r="M81" s="5">
        <f>IF(I81=0,J81*K81,I81*J81*K81)</f>
        <v/>
      </c>
      <c r="N81" s="38">
        <f>$N$87</f>
        <v/>
      </c>
      <c r="O81" s="39">
        <f>SUM(M81*N81)+M81</f>
        <v/>
      </c>
      <c r="P81" s="5">
        <f>SUM(O81-M81)</f>
        <v/>
      </c>
      <c r="Q81" s="128">
        <f>R81+S81</f>
        <v/>
      </c>
      <c r="R81" s="127">
        <f>J81*(MAX(0.5, ROUNDUP(I81/20, 0) * 0.5) *COSTE!$G$3)</f>
        <v/>
      </c>
      <c r="S81" s="126">
        <f>SUM(T81:AU81)</f>
        <v/>
      </c>
      <c r="T81" s="129">
        <f>I81*COSTE!$G$43</f>
        <v/>
      </c>
      <c r="U81" s="129">
        <f>(I81/18)*COSTE!$G$4</f>
        <v/>
      </c>
      <c r="V81" s="129">
        <f>T81*20%</f>
        <v/>
      </c>
      <c r="W81" s="129">
        <f>(I81/20)*COSTE!$G$4</f>
        <v/>
      </c>
      <c r="X81" s="129">
        <f>(I81/100)*COSTE!$G$4</f>
        <v/>
      </c>
      <c r="Y81" s="129">
        <f>ROUNDUP(I81/100,0)*((COSTE!$G$20/3)+(COSTE!$G$45*1)+(COSTE!$G$4/6)+(0.5))</f>
        <v/>
      </c>
      <c r="Z81" s="129">
        <f>I81*0.01</f>
        <v/>
      </c>
      <c r="AA81" s="112" t="n"/>
      <c r="AB81" s="112" t="n"/>
      <c r="AC81" s="112" t="n"/>
      <c r="AD81" s="112" t="n"/>
      <c r="AE81" s="112" t="n"/>
      <c r="AF81" s="112" t="n"/>
      <c r="AG81" s="112" t="n"/>
      <c r="AH81" s="112" t="n"/>
      <c r="AI81" s="112" t="n"/>
      <c r="AL81" s="193" t="n"/>
    </row>
    <row r="82">
      <c r="A82" s="1" t="inlineStr">
        <is>
          <t>Liston</t>
        </is>
      </c>
      <c r="B82" s="1" t="inlineStr">
        <is>
          <t>Liston</t>
        </is>
      </c>
      <c r="C82" s="1" t="inlineStr">
        <is>
          <t>Abeto</t>
        </is>
      </c>
      <c r="D82" s="1" t="inlineStr">
        <is>
          <t>Liston Abeto 120*60</t>
        </is>
      </c>
      <c r="E82" s="30" t="n"/>
      <c r="F82" s="26" t="n"/>
      <c r="G82" s="26" t="n"/>
      <c r="H82" s="26" t="n"/>
      <c r="I82" s="119" t="n">
        <v>0</v>
      </c>
      <c r="J82" s="6" t="n">
        <v>0</v>
      </c>
      <c r="K82" s="187" t="n">
        <v>11.5</v>
      </c>
      <c r="L82" s="188">
        <f>IFERROR(ROUNDUP((Q82/I82)/0.5,0)*0.5,0)</f>
        <v/>
      </c>
      <c r="M82" s="5">
        <f>IF(I82=0,J82*K82,I82*J82*K82)</f>
        <v/>
      </c>
      <c r="N82" s="38">
        <f>$N$87</f>
        <v/>
      </c>
      <c r="O82" s="39">
        <f>SUM(M82*N82)+M82</f>
        <v/>
      </c>
      <c r="P82" s="5">
        <f>SUM(O82-M82)</f>
        <v/>
      </c>
      <c r="Q82" s="128">
        <f>R82+S82</f>
        <v/>
      </c>
      <c r="R82" s="127">
        <f>J82*(MAX(0.5, ROUNDUP(I82/20, 0) * 0.5) *COSTE!$G$3)</f>
        <v/>
      </c>
      <c r="S82" s="126">
        <f>SUM(T82:AU82)</f>
        <v/>
      </c>
      <c r="T82" s="129">
        <f>I82*COSTE!$G$45</f>
        <v/>
      </c>
      <c r="U82" s="129">
        <f>(I82/18)*COSTE!$G$4</f>
        <v/>
      </c>
      <c r="V82" s="129">
        <f>T82*20%</f>
        <v/>
      </c>
      <c r="W82" s="129">
        <f>(I82/20)*COSTE!$G$4</f>
        <v/>
      </c>
      <c r="X82" s="129">
        <f>(I82/100)*COSTE!$G$4</f>
        <v/>
      </c>
      <c r="Y82" s="129">
        <f>ROUNDUP(I82/100,0)*((COSTE!$G$20/3)+(COSTE!$G$45*1)+(COSTE!$G$4/6)+(0.5))</f>
        <v/>
      </c>
      <c r="Z82" s="129">
        <f>I82*0.01</f>
        <v/>
      </c>
      <c r="AA82" s="112" t="n"/>
      <c r="AB82" s="112" t="n"/>
      <c r="AC82" s="112" t="n"/>
      <c r="AD82" s="112" t="n"/>
      <c r="AE82" s="112" t="n"/>
      <c r="AF82" s="112" t="n"/>
      <c r="AG82" s="112" t="n"/>
      <c r="AH82" s="112" t="n"/>
      <c r="AI82" s="112" t="n"/>
      <c r="AL82" s="193" t="n"/>
    </row>
    <row r="83">
      <c r="A83" s="1" t="inlineStr">
        <is>
          <t>Liston</t>
        </is>
      </c>
      <c r="B83" s="1" t="inlineStr">
        <is>
          <t>Liston</t>
        </is>
      </c>
      <c r="C83" s="1" t="inlineStr">
        <is>
          <t>Abeto</t>
        </is>
      </c>
      <c r="D83" s="1" t="inlineStr">
        <is>
          <t>Liston Abeto 120*120</t>
        </is>
      </c>
      <c r="E83" s="32" t="n"/>
      <c r="F83" s="26" t="n"/>
      <c r="G83" s="26" t="n"/>
      <c r="H83" s="26" t="n"/>
      <c r="I83" s="119" t="n">
        <v>0</v>
      </c>
      <c r="J83" s="6" t="n">
        <v>0</v>
      </c>
      <c r="K83" s="187" t="n">
        <v>82</v>
      </c>
      <c r="L83" s="188">
        <f>IFERROR(ROUNDUP((Q83/I83)/0.5,0)*0.5,0)</f>
        <v/>
      </c>
      <c r="M83" s="5">
        <f>IF(I83=0,J83*K83,I83*J83*K83)</f>
        <v/>
      </c>
      <c r="N83" s="38">
        <f>$N$87</f>
        <v/>
      </c>
      <c r="O83" s="39">
        <f>SUM(M83*N83)+M83</f>
        <v/>
      </c>
      <c r="P83" s="5">
        <f>SUM(O83-M83)</f>
        <v/>
      </c>
      <c r="Q83" s="128">
        <f>R83+S83</f>
        <v/>
      </c>
      <c r="R83" s="127">
        <f>J83*(MAX(0.5, ROUNDUP(I83/20, 0) * 0.5) *COSTE!$G$3)</f>
        <v/>
      </c>
      <c r="S83" s="126">
        <f>SUM(T83:AU83)</f>
        <v/>
      </c>
      <c r="T83" s="129">
        <f>I83*COSTE!$G$46</f>
        <v/>
      </c>
      <c r="U83" s="129">
        <f>(I83/18)*COSTE!$G$4</f>
        <v/>
      </c>
      <c r="V83" s="129">
        <f>T83*20%</f>
        <v/>
      </c>
      <c r="W83" s="129">
        <f>(I83/20)*COSTE!$G$4</f>
        <v/>
      </c>
      <c r="X83" s="129">
        <f>(I83/100)*COSTE!$G$4</f>
        <v/>
      </c>
      <c r="Y83" s="129">
        <f>ROUNDUP(I83/100,0)*((COSTE!$G$20/3)+(COSTE!$G$45*1)+(COSTE!$G$4/6)+(0.5))</f>
        <v/>
      </c>
      <c r="Z83" s="129">
        <f>I83*0.01</f>
        <v/>
      </c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L83" s="193" t="n"/>
    </row>
    <row r="84">
      <c r="A84" s="1" t="inlineStr">
        <is>
          <t xml:space="preserve">Perfil </t>
        </is>
      </c>
      <c r="B84" s="1" t="inlineStr">
        <is>
          <t xml:space="preserve">Perfil </t>
        </is>
      </c>
      <c r="C84" s="1" t="inlineStr">
        <is>
          <t>Aluminio</t>
        </is>
      </c>
      <c r="D84" s="1" t="inlineStr">
        <is>
          <t>Pletina 20*3 Negro Brillante</t>
        </is>
      </c>
      <c r="E84" s="4" t="inlineStr">
        <is>
          <t>*New</t>
        </is>
      </c>
      <c r="F84" s="26" t="n"/>
      <c r="G84" s="26" t="n"/>
      <c r="H84" s="26" t="n"/>
      <c r="I84" s="119" t="n">
        <v>0</v>
      </c>
      <c r="J84" s="6" t="n">
        <v>0</v>
      </c>
      <c r="K84" s="10" t="n">
        <v>5</v>
      </c>
      <c r="L84" s="188">
        <f>IFERROR(ROUNDUP((Q84/I84)/0.5,0)*0.5,0)</f>
        <v/>
      </c>
      <c r="M84" s="5">
        <f>IF(I84=0,J84*K84,I84*J84*K84)</f>
        <v/>
      </c>
      <c r="N84" s="38">
        <f>$N$87</f>
        <v/>
      </c>
      <c r="O84" s="39">
        <f>SUM(M84*N84)+M84</f>
        <v/>
      </c>
      <c r="P84" s="5">
        <f>SUM(O84-M84)</f>
        <v/>
      </c>
      <c r="Q84" s="128">
        <f>R84+S84</f>
        <v/>
      </c>
      <c r="R84" s="127">
        <f>J84*(MAX(0.5, ROUNDUP(I84/20, 0) * 0.5) *COSTE!$G$3)</f>
        <v/>
      </c>
      <c r="S84" s="126">
        <f>SUM(T84:AU84)</f>
        <v/>
      </c>
      <c r="T84" s="112" t="n"/>
      <c r="U84" s="112" t="n"/>
      <c r="V84" s="112" t="n"/>
      <c r="W84" s="112" t="n"/>
      <c r="X84" s="112" t="n"/>
      <c r="Y84" s="112" t="n"/>
      <c r="Z84" s="112" t="n"/>
      <c r="AA84" s="129">
        <f>I84*COSTE!$G$57</f>
        <v/>
      </c>
      <c r="AB84" s="129">
        <f>AA84*20%</f>
        <v/>
      </c>
      <c r="AC84" s="112" t="n"/>
      <c r="AD84" s="112" t="n"/>
      <c r="AE84" s="112" t="n"/>
      <c r="AF84" s="112" t="n"/>
      <c r="AG84" s="112" t="n"/>
      <c r="AH84" s="112" t="n"/>
      <c r="AI84" s="112" t="n"/>
      <c r="AL84" s="193" t="n"/>
    </row>
    <row r="85">
      <c r="A85" s="1" t="inlineStr">
        <is>
          <t xml:space="preserve">Perfil </t>
        </is>
      </c>
      <c r="B85" s="1" t="inlineStr">
        <is>
          <t xml:space="preserve">Perfil </t>
        </is>
      </c>
      <c r="C85" s="1" t="inlineStr">
        <is>
          <t>Aluminio</t>
        </is>
      </c>
      <c r="D85" s="1" t="inlineStr">
        <is>
          <t>Para Textiles Silicona</t>
        </is>
      </c>
      <c r="E85" s="4" t="n"/>
      <c r="F85" s="26" t="n"/>
      <c r="G85" s="26" t="n"/>
      <c r="H85" s="26" t="n"/>
      <c r="I85" s="119" t="n">
        <v>0</v>
      </c>
      <c r="J85" s="6" t="n">
        <v>0</v>
      </c>
      <c r="K85" s="19" t="n">
        <v>5</v>
      </c>
      <c r="L85" s="188">
        <f>IFERROR(ROUNDUP((Q85/I85)/0.5,0)*0.5,0)</f>
        <v/>
      </c>
      <c r="M85" s="5">
        <f>IF(I85=0,J85*K85,I85*J85*K85)</f>
        <v/>
      </c>
      <c r="N85" s="38">
        <f>$N$87</f>
        <v/>
      </c>
      <c r="O85" s="39">
        <f>SUM(M85*N85)+M85</f>
        <v/>
      </c>
      <c r="P85" s="5">
        <f>SUM(O85-M85)</f>
        <v/>
      </c>
      <c r="Q85" s="128">
        <f>R85+S85</f>
        <v/>
      </c>
      <c r="R85" s="127">
        <f>J85*(MAX(0.5, ROUNDUP(I85/20, 0) * 0.5) *COSTE!$G$3)</f>
        <v/>
      </c>
      <c r="S85" s="126">
        <f>SUM(T85:AU85)</f>
        <v/>
      </c>
      <c r="T85" s="112" t="n"/>
      <c r="U85" s="112" t="n"/>
      <c r="V85" s="112" t="n"/>
      <c r="W85" s="112" t="n"/>
      <c r="X85" s="112" t="n"/>
      <c r="Y85" s="112" t="n"/>
      <c r="Z85" s="112" t="n"/>
      <c r="AA85" s="129">
        <f>I85*COSTE!$G$58</f>
        <v/>
      </c>
      <c r="AB85" s="129">
        <f>AA85*20%</f>
        <v/>
      </c>
      <c r="AC85" s="112" t="n"/>
      <c r="AD85" s="112" t="n"/>
      <c r="AE85" s="112" t="n"/>
      <c r="AF85" s="112" t="n"/>
      <c r="AG85" s="112" t="n"/>
      <c r="AH85" s="112" t="n"/>
      <c r="AI85" s="112" t="n"/>
      <c r="AL85" s="193" t="n"/>
    </row>
    <row r="86">
      <c r="A86" s="1" t="inlineStr">
        <is>
          <t xml:space="preserve">Perfil </t>
        </is>
      </c>
      <c r="B86" s="1" t="inlineStr">
        <is>
          <t xml:space="preserve">Perfil </t>
        </is>
      </c>
      <c r="C86" s="1" t="inlineStr">
        <is>
          <t>Aluminio</t>
        </is>
      </c>
      <c r="D86" s="1" t="inlineStr">
        <is>
          <t xml:space="preserve">Perfil en U aluminio </t>
        </is>
      </c>
      <c r="E86" s="4" t="n"/>
      <c r="F86" s="26" t="n"/>
      <c r="G86" s="26" t="n"/>
      <c r="H86" s="26" t="n"/>
      <c r="I86" s="119" t="n">
        <v>0</v>
      </c>
      <c r="J86" s="6" t="n">
        <v>0</v>
      </c>
      <c r="K86" s="19" t="n">
        <v>5.77</v>
      </c>
      <c r="L86" s="188">
        <f>IFERROR(ROUNDUP((Q86/I86)/0.5,0)*0.5,0)</f>
        <v/>
      </c>
      <c r="M86" s="5">
        <f>IF(I86=0,J86*K86,I86*J86*K86)</f>
        <v/>
      </c>
      <c r="N86" s="38">
        <f>$N$87</f>
        <v/>
      </c>
      <c r="O86" s="39">
        <f>SUM(M86*N86)+M86</f>
        <v/>
      </c>
      <c r="P86" s="5">
        <f>SUM(O86-M86)</f>
        <v/>
      </c>
      <c r="Q86" s="128">
        <f>R86+S86</f>
        <v/>
      </c>
      <c r="R86" s="127">
        <f>J86*(MAX(0.5, ROUNDUP(I86/20, 0) * 0.5) *COSTE!$G$3)</f>
        <v/>
      </c>
      <c r="S86" s="126">
        <f>SUM(T86:AU86)</f>
        <v/>
      </c>
      <c r="T86" s="112" t="n"/>
      <c r="U86" s="112" t="n"/>
      <c r="V86" s="112" t="n"/>
      <c r="W86" s="112" t="n"/>
      <c r="X86" s="112" t="n"/>
      <c r="Y86" s="112" t="n"/>
      <c r="Z86" s="112" t="n"/>
      <c r="AA86" s="129">
        <f>I86*COSTE!$G$59</f>
        <v/>
      </c>
      <c r="AB86" s="129">
        <f>AA86*20%</f>
        <v/>
      </c>
      <c r="AC86" s="112" t="n"/>
      <c r="AD86" s="112" t="n"/>
      <c r="AE86" s="112" t="n"/>
      <c r="AF86" s="112" t="n"/>
      <c r="AG86" s="112" t="n"/>
      <c r="AH86" s="112" t="n"/>
      <c r="AI86" s="112" t="n"/>
      <c r="AL86" s="193" t="n"/>
    </row>
    <row r="87" customFormat="1" s="191">
      <c r="A87" s="22" t="n"/>
      <c r="B87" s="22" t="n"/>
      <c r="C87" s="22" t="n"/>
      <c r="D87" s="22" t="n"/>
      <c r="E87" s="22" t="n"/>
      <c r="F87" s="8" t="n"/>
      <c r="G87" s="8" t="n"/>
      <c r="H87" s="8" t="n"/>
      <c r="I87" s="8" t="n"/>
      <c r="J87" s="8" t="n"/>
      <c r="K87" s="8" t="inlineStr">
        <is>
          <t>TOTAL LISTONES Y PERFILES</t>
        </is>
      </c>
      <c r="L87" s="144" t="n"/>
      <c r="M87" s="9">
        <f>SUM(M80:M86)</f>
        <v/>
      </c>
      <c r="N87" s="18">
        <f>$N$2</f>
        <v/>
      </c>
      <c r="O87" s="9">
        <f>SUM(O80:O86)</f>
        <v/>
      </c>
      <c r="P87" s="9">
        <f>SUM(P80:P86)</f>
        <v/>
      </c>
      <c r="Q87" s="9">
        <f>SUM(Q80:Q86)</f>
        <v/>
      </c>
      <c r="R87" s="9" t="n"/>
      <c r="S87" s="9">
        <f>SUM(S80:S86)</f>
        <v/>
      </c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L87" s="191" t="n"/>
    </row>
    <row r="88">
      <c r="A88" s="104" t="inlineStr">
        <is>
          <t>FAMILIA</t>
        </is>
      </c>
      <c r="B88" s="104" t="inlineStr">
        <is>
          <t>SUB F.</t>
        </is>
      </c>
      <c r="C88" s="104" t="inlineStr">
        <is>
          <t>MATERIAL</t>
        </is>
      </c>
      <c r="D88" s="100" t="inlineStr">
        <is>
          <t>MOSTRADOR</t>
        </is>
      </c>
      <c r="E88" s="100" t="inlineStr">
        <is>
          <t>COMENTARIOS</t>
        </is>
      </c>
      <c r="F88" s="99" t="inlineStr">
        <is>
          <t>Largo</t>
        </is>
      </c>
      <c r="G88" s="99" t="inlineStr">
        <is>
          <t>Ancho</t>
        </is>
      </c>
      <c r="H88" s="99" t="inlineStr">
        <is>
          <t>Alto</t>
        </is>
      </c>
      <c r="I88" s="101" t="inlineStr">
        <is>
          <t>m3</t>
        </is>
      </c>
      <c r="J88" s="106" t="inlineStr">
        <is>
          <t>UDS</t>
        </is>
      </c>
      <c r="K88" s="101" t="inlineStr">
        <is>
          <t>€/ml</t>
        </is>
      </c>
      <c r="L88" s="142" t="inlineStr">
        <is>
          <t>€/m3 Real</t>
        </is>
      </c>
      <c r="M88" s="101" t="inlineStr">
        <is>
          <t>€/Empresa</t>
        </is>
      </c>
      <c r="N88" s="102" t="inlineStr">
        <is>
          <t>Markup %</t>
        </is>
      </c>
      <c r="O88" s="101" t="inlineStr">
        <is>
          <t>€ TOTAL</t>
        </is>
      </c>
      <c r="P88" s="101" t="inlineStr">
        <is>
          <t>BEN.EMP</t>
        </is>
      </c>
      <c r="Q88" s="122" t="inlineStr">
        <is>
          <t>COSTE TOT</t>
        </is>
      </c>
      <c r="R88" s="136" t="inlineStr">
        <is>
          <t>Diseño (1,5m3/2-6h)</t>
        </is>
      </c>
      <c r="S88" s="109" t="inlineStr">
        <is>
          <t xml:space="preserve">COSTE MAT </t>
        </is>
      </c>
      <c r="T88" s="116" t="inlineStr">
        <is>
          <t xml:space="preserve">Tableros </t>
        </is>
      </c>
      <c r="U88" s="111" t="inlineStr">
        <is>
          <t>(10m2/h)  Corte</t>
        </is>
      </c>
      <c r="V88" s="111" t="inlineStr">
        <is>
          <t>Merma 30%</t>
        </is>
      </c>
      <c r="W88" s="147" t="inlineStr">
        <is>
          <t>( m3/h) T. Fabricación</t>
        </is>
      </c>
      <c r="X88" s="111" t="inlineStr">
        <is>
          <t>(5m2/h) T. Paletizacion</t>
        </is>
      </c>
      <c r="Y88" s="110" t="inlineStr">
        <is>
          <t>Palets</t>
        </is>
      </c>
      <c r="Z88" s="111" t="inlineStr">
        <is>
          <t>Tornilleria</t>
        </is>
      </c>
      <c r="AA88" s="110" t="inlineStr">
        <is>
          <t>Lacado(Color)</t>
        </is>
      </c>
      <c r="AB88" s="110" t="inlineStr">
        <is>
          <t>Logistica Lacado</t>
        </is>
      </c>
      <c r="AC88" s="118" t="inlineStr">
        <is>
          <t>Mat. Curva</t>
        </is>
      </c>
      <c r="AD88" s="110" t="inlineStr">
        <is>
          <t>CNC</t>
        </is>
      </c>
      <c r="AE88" s="112" t="n"/>
      <c r="AF88" s="112" t="n"/>
      <c r="AG88" s="112" t="n"/>
      <c r="AH88" s="112" t="n"/>
      <c r="AI88" s="112" t="n"/>
    </row>
    <row r="89">
      <c r="A89" s="1" t="inlineStr">
        <is>
          <t>Mostrador</t>
        </is>
      </c>
      <c r="B89" s="1" t="inlineStr">
        <is>
          <t>Recto</t>
        </is>
      </c>
      <c r="C89" s="1" t="inlineStr">
        <is>
          <t>Aglomerado</t>
        </is>
      </c>
      <c r="D89" s="1" t="inlineStr">
        <is>
          <t>Con Puertas</t>
        </is>
      </c>
      <c r="E89" s="4" t="n"/>
      <c r="F89" s="119" t="n">
        <v>0</v>
      </c>
      <c r="G89" s="119" t="n">
        <v>0</v>
      </c>
      <c r="H89" s="119" t="n">
        <v>0</v>
      </c>
      <c r="I89" s="5">
        <f>F89*G89*H89</f>
        <v/>
      </c>
      <c r="J89" s="6" t="n">
        <v>0</v>
      </c>
      <c r="K89" s="19" t="n">
        <v>102.625088</v>
      </c>
      <c r="L89" s="188">
        <f>IFERROR(ROUNDUP((Q89/I89)/0.5,0)*0.5,0)</f>
        <v/>
      </c>
      <c r="M89" s="5">
        <f>IF(I89=0,J89*K89,I89*J89*K89)</f>
        <v/>
      </c>
      <c r="N89" s="38">
        <f>$N$111</f>
        <v/>
      </c>
      <c r="O89" s="39">
        <f>SUM(M89*N89)+M89</f>
        <v/>
      </c>
      <c r="P89" s="5">
        <f>SUM(O89-M89)</f>
        <v/>
      </c>
      <c r="Q89" s="128">
        <f>R89+S89</f>
        <v/>
      </c>
      <c r="R89" s="127">
        <f>J89*(MAX(1, ROUNDUP(I89/1.5, 0) * 2) *COSTE!$G$3)</f>
        <v/>
      </c>
      <c r="S89" s="126">
        <f>SUM(T89:AU89)</f>
        <v/>
      </c>
      <c r="T89" s="129">
        <f>(((F89*H89)*2)+((F89*G89)*3)+((G89*H89)*2))*COSTE!$G$20</f>
        <v/>
      </c>
      <c r="U89" s="129">
        <f>((((F89*H89)*2)+((F89*G89)*3)+((G89*H89)*2))/10)*COSTE!$G$4</f>
        <v/>
      </c>
      <c r="V89" s="129">
        <f>T89*30%</f>
        <v/>
      </c>
      <c r="W89" s="129">
        <f>(I89/0.75)*COSTE!$G$4</f>
        <v/>
      </c>
      <c r="X89" s="129">
        <f>(I89/5)*COSTE!$G$4</f>
        <v/>
      </c>
      <c r="Y89" s="129">
        <f>ROUNDUP(I89/50,0)*((COSTE!$G$20/3)+(COSTE!$G$45*1)+(COSTE!$G$4/6)+(0.5))</f>
        <v/>
      </c>
      <c r="Z89" s="129">
        <f>(ROUNDUP(I89,0)*(3+15+2 + (10*4)))*0.5</f>
        <v/>
      </c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L89" s="194" t="n"/>
    </row>
    <row r="90">
      <c r="A90" s="1" t="inlineStr">
        <is>
          <t>Mostrador</t>
        </is>
      </c>
      <c r="B90" s="1" t="inlineStr">
        <is>
          <t>Recto</t>
        </is>
      </c>
      <c r="C90" s="1" t="inlineStr">
        <is>
          <t>Aglomerado</t>
        </is>
      </c>
      <c r="D90" s="1" t="inlineStr">
        <is>
          <t>Abierto</t>
        </is>
      </c>
      <c r="E90" s="4" t="n"/>
      <c r="F90" s="119" t="n">
        <v>0</v>
      </c>
      <c r="G90" s="119" t="n">
        <v>0</v>
      </c>
      <c r="H90" s="119" t="n">
        <v>0</v>
      </c>
      <c r="I90" s="5">
        <f>F90*G90*H90</f>
        <v/>
      </c>
      <c r="J90" s="6" t="n">
        <v>0</v>
      </c>
      <c r="K90" s="19" t="n">
        <v>82.08508800000001</v>
      </c>
      <c r="L90" s="188">
        <f>IFERROR(ROUNDUP((Q90/I90)/0.5,0)*0.5,0)</f>
        <v/>
      </c>
      <c r="M90" s="5">
        <f>IF(I90=0,J90*K90,I90*J90*K90)</f>
        <v/>
      </c>
      <c r="N90" s="38">
        <f>$N$111</f>
        <v/>
      </c>
      <c r="O90" s="39">
        <f>SUM(M90*N90)+M90</f>
        <v/>
      </c>
      <c r="P90" s="5">
        <f>SUM(O90-M90)</f>
        <v/>
      </c>
      <c r="Q90" s="128">
        <f>R90+S90</f>
        <v/>
      </c>
      <c r="R90" s="127">
        <f>J90*(MAX(1, ROUNDUP(I90/1.5, 0) * 2) *COSTE!$G$3)</f>
        <v/>
      </c>
      <c r="S90" s="126">
        <f>SUM(T90:AU90)</f>
        <v/>
      </c>
      <c r="T90" s="129">
        <f>((F90*H90)+((F90*G90)*3)+((G90*H90)*2))*COSTE!$G$20</f>
        <v/>
      </c>
      <c r="U90" s="129">
        <f>(((F90*H90)+((F90*G90)*3)+((G90*H90)*2))/10)*COSTE!$G$4</f>
        <v/>
      </c>
      <c r="V90" s="129">
        <f>T90*30%</f>
        <v/>
      </c>
      <c r="W90" s="129">
        <f>(I90/1)*COSTE!$G$4</f>
        <v/>
      </c>
      <c r="X90" s="129">
        <f>(I90/5)*COSTE!$G$4</f>
        <v/>
      </c>
      <c r="Y90" s="129">
        <f>ROUNDUP(I90/50,0)*((COSTE!$G$20/3)+(COSTE!$G$45*1)+(COSTE!$G$4/6)+(0.5))</f>
        <v/>
      </c>
      <c r="Z90" s="129">
        <f>(ROUNDUP(I90,0)*(3+15+2))*0.5</f>
        <v/>
      </c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L90" s="194" t="n"/>
    </row>
    <row r="91">
      <c r="A91" s="1" t="inlineStr">
        <is>
          <t>Mostrador</t>
        </is>
      </c>
      <c r="B91" s="1" t="inlineStr">
        <is>
          <t>Recto</t>
        </is>
      </c>
      <c r="C91" s="1" t="inlineStr">
        <is>
          <t>Lacado</t>
        </is>
      </c>
      <c r="D91" s="1" t="inlineStr">
        <is>
          <t>Con Puertas</t>
        </is>
      </c>
      <c r="E91" s="4" t="inlineStr">
        <is>
          <t>*New</t>
        </is>
      </c>
      <c r="F91" s="119" t="n">
        <v>0</v>
      </c>
      <c r="G91" s="119" t="n">
        <v>0</v>
      </c>
      <c r="H91" s="119" t="n">
        <v>0</v>
      </c>
      <c r="I91" s="5">
        <f>F91*G91*H91</f>
        <v/>
      </c>
      <c r="J91" s="6" t="n">
        <v>0</v>
      </c>
      <c r="K91" s="10" t="n">
        <v>660</v>
      </c>
      <c r="L91" s="188">
        <f>IFERROR(ROUNDUP((Q91/I91)/0.5,0)*0.5,0)</f>
        <v/>
      </c>
      <c r="M91" s="5">
        <f>IF(I91=0,J91*K91,I91*J91*K91)</f>
        <v/>
      </c>
      <c r="N91" s="38">
        <f>$N$111</f>
        <v/>
      </c>
      <c r="O91" s="39">
        <f>SUM(M91*N91)+M91</f>
        <v/>
      </c>
      <c r="P91" s="5">
        <f>SUM(O91-M91)</f>
        <v/>
      </c>
      <c r="Q91" s="128">
        <f>R91+S91</f>
        <v/>
      </c>
      <c r="R91" s="127">
        <f>J91*(MAX(1, ROUNDUP(I91/1.5, 0) * 2) *COSTE!$G$3)</f>
        <v/>
      </c>
      <c r="S91" s="126">
        <f>SUM(T91:AU91)</f>
        <v/>
      </c>
      <c r="T91" s="129">
        <f>(((F91*H91)*2)+((F91*G91)*3)+((G91*H91)*2))*COSTE!$G$20</f>
        <v/>
      </c>
      <c r="U91" s="129">
        <f>((((F91*H91)*2)+((F91*G91)*3)+((G91*H91)*2))/10)*COSTE!$G$4</f>
        <v/>
      </c>
      <c r="V91" s="129">
        <f>T91*30%</f>
        <v/>
      </c>
      <c r="W91" s="129">
        <f>(I91/0.75)*COSTE!$G$4</f>
        <v/>
      </c>
      <c r="X91" s="129">
        <f>(I91/5)*COSTE!$G$4</f>
        <v/>
      </c>
      <c r="Y91" s="129">
        <f>ROUNDUP(I91/50,0)*((COSTE!$G$20/3)+(COSTE!$G$45*1)+(COSTE!$G$4/6)+(0.5))</f>
        <v/>
      </c>
      <c r="Z91" s="129">
        <f>(ROUNDUP(I91,0)*(3+15+2 + (10*4)))*0.5</f>
        <v/>
      </c>
      <c r="AA91" s="129">
        <f>(((((F91*H91)*2)+((F91*G91)*3)+((G91*H91)*2)))*2)*COSTE!$G$90</f>
        <v/>
      </c>
      <c r="AB91" s="129">
        <f>(2*COSTE!$G$4)*J91</f>
        <v/>
      </c>
      <c r="AC91" s="112" t="n"/>
      <c r="AD91" s="112" t="n"/>
      <c r="AE91" s="112" t="n"/>
      <c r="AF91" s="112" t="n"/>
      <c r="AG91" s="112" t="n"/>
      <c r="AH91" s="112" t="n"/>
      <c r="AI91" s="112" t="n"/>
      <c r="AL91" s="194" t="n"/>
    </row>
    <row r="92">
      <c r="A92" s="1" t="inlineStr">
        <is>
          <t>Mostrador</t>
        </is>
      </c>
      <c r="B92" s="1" t="inlineStr">
        <is>
          <t>Recto</t>
        </is>
      </c>
      <c r="C92" s="1" t="inlineStr">
        <is>
          <t>Lacado</t>
        </is>
      </c>
      <c r="D92" s="1" t="inlineStr">
        <is>
          <t>Abierto</t>
        </is>
      </c>
      <c r="E92" s="4" t="inlineStr">
        <is>
          <t>*New</t>
        </is>
      </c>
      <c r="F92" s="119" t="n">
        <v>0</v>
      </c>
      <c r="G92" s="119" t="n">
        <v>0</v>
      </c>
      <c r="H92" s="119" t="n">
        <v>0</v>
      </c>
      <c r="I92" s="5">
        <f>F92*G92*H92</f>
        <v/>
      </c>
      <c r="J92" s="6" t="n">
        <v>0</v>
      </c>
      <c r="K92" s="10" t="n">
        <v>540</v>
      </c>
      <c r="L92" s="188">
        <f>IFERROR(ROUNDUP((Q92/I92)/0.5,0)*0.5,0)</f>
        <v/>
      </c>
      <c r="M92" s="5">
        <f>IF(I92=0,J92*K92,I92*J92*K92)</f>
        <v/>
      </c>
      <c r="N92" s="38">
        <f>$N$111</f>
        <v/>
      </c>
      <c r="O92" s="39">
        <f>SUM(M92*N92)+M92</f>
        <v/>
      </c>
      <c r="P92" s="5">
        <f>SUM(O92-M92)</f>
        <v/>
      </c>
      <c r="Q92" s="128">
        <f>R92+S92</f>
        <v/>
      </c>
      <c r="R92" s="127">
        <f>J92*(MAX(1, ROUNDUP(I92/1.5, 0) * 2) *COSTE!$G$3)</f>
        <v/>
      </c>
      <c r="S92" s="126">
        <f>SUM(T92:AU92)</f>
        <v/>
      </c>
      <c r="T92" s="129">
        <f>((F92*H92)+((F92*G92)*3)+((G92*H92)*2))*COSTE!$G$20</f>
        <v/>
      </c>
      <c r="U92" s="129">
        <f>(((F92*H92)+((F92*G92)*3)+((G92*H92)*2))/10)*COSTE!$G$4</f>
        <v/>
      </c>
      <c r="V92" s="129">
        <f>T92*30%</f>
        <v/>
      </c>
      <c r="W92" s="129">
        <f>(I92/1)*COSTE!$G$4</f>
        <v/>
      </c>
      <c r="X92" s="129">
        <f>(I92/5)*COSTE!$G$4</f>
        <v/>
      </c>
      <c r="Y92" s="129">
        <f>ROUNDUP(I92/50,0)*((COSTE!$G$20/3)+(COSTE!$G$45*1)+(COSTE!$G$4/6)+(0.5))</f>
        <v/>
      </c>
      <c r="Z92" s="129">
        <f>(ROUNDUP(I92,0)*(3+15+2))*0.5</f>
        <v/>
      </c>
      <c r="AA92" s="129">
        <f>(((F92*H92)+((F92*G92)*3)+((G92*H92)*2))*2)*COSTE!$G$90</f>
        <v/>
      </c>
      <c r="AB92" s="129">
        <f>(2*COSTE!$G$4)*J92</f>
        <v/>
      </c>
      <c r="AC92" s="112" t="n"/>
      <c r="AD92" s="112" t="n"/>
      <c r="AE92" s="112" t="n"/>
      <c r="AF92" s="112" t="n"/>
      <c r="AG92" s="112" t="n"/>
      <c r="AH92" s="112" t="n"/>
      <c r="AI92" s="112" t="n"/>
      <c r="AL92" s="194" t="n"/>
    </row>
    <row r="93">
      <c r="A93" s="1" t="inlineStr">
        <is>
          <t>Mostrador</t>
        </is>
      </c>
      <c r="B93" s="1" t="inlineStr">
        <is>
          <t>Recto</t>
        </is>
      </c>
      <c r="C93" s="1" t="inlineStr">
        <is>
          <t>Melamina Blanca / Negra</t>
        </is>
      </c>
      <c r="D93" s="1" t="inlineStr">
        <is>
          <t>Con Puertas</t>
        </is>
      </c>
      <c r="E93" s="4" t="n"/>
      <c r="F93" s="119" t="n">
        <v>0</v>
      </c>
      <c r="G93" s="119" t="n">
        <v>0</v>
      </c>
      <c r="H93" s="119" t="n">
        <v>0</v>
      </c>
      <c r="I93" s="5">
        <f>F93*G93*H93</f>
        <v/>
      </c>
      <c r="J93" s="6" t="n">
        <v>0</v>
      </c>
      <c r="K93" s="19" t="n">
        <v>158.139296</v>
      </c>
      <c r="L93" s="188">
        <f>IFERROR(ROUNDUP((Q93/I93)/0.5,0)*0.5,0)</f>
        <v/>
      </c>
      <c r="M93" s="5">
        <f>IF(I93=0,J93*K93,I93*J93*K93)</f>
        <v/>
      </c>
      <c r="N93" s="38">
        <f>$N$111</f>
        <v/>
      </c>
      <c r="O93" s="39">
        <f>SUM(M93*N93)+M93</f>
        <v/>
      </c>
      <c r="P93" s="5">
        <f>SUM(O93-M93)</f>
        <v/>
      </c>
      <c r="Q93" s="128">
        <f>R93+S93</f>
        <v/>
      </c>
      <c r="R93" s="127">
        <f>J93*(MAX(1, ROUNDUP(I93/1.5, 0) * 2) *COSTE!$G$3)</f>
        <v/>
      </c>
      <c r="S93" s="126">
        <f>SUM(T93:AU93)</f>
        <v/>
      </c>
      <c r="T93" s="129">
        <f>(((F93*H93)*2)+((F93*G93)*3)+((G93*H93)*2))*COSTE!$G$13</f>
        <v/>
      </c>
      <c r="U93" s="129">
        <f>((((F93*H93)*2)+((F93*G93)*3)+((G93*H93)*2))/10)*COSTE!$G$4</f>
        <v/>
      </c>
      <c r="V93" s="129">
        <f>T93*30%</f>
        <v/>
      </c>
      <c r="W93" s="129">
        <f>(I93/0.75)*COSTE!$G$4</f>
        <v/>
      </c>
      <c r="X93" s="129">
        <f>(I93/5)*COSTE!$G$4</f>
        <v/>
      </c>
      <c r="Y93" s="129">
        <f>ROUNDUP(I93/50,0)*((COSTE!$G$20/3)+(COSTE!$G$45*1)+(COSTE!$G$4/6)+(0.5))</f>
        <v/>
      </c>
      <c r="Z93" s="129">
        <f>(ROUNDUP(I93,0)*(3+15+2 + (10*4)))*0.5</f>
        <v/>
      </c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L93" s="194" t="n"/>
    </row>
    <row r="94">
      <c r="A94" s="1" t="inlineStr">
        <is>
          <t>Mostrador</t>
        </is>
      </c>
      <c r="B94" s="1" t="inlineStr">
        <is>
          <t>Recto</t>
        </is>
      </c>
      <c r="C94" s="1" t="inlineStr">
        <is>
          <t>Melamina Blanca / Negra</t>
        </is>
      </c>
      <c r="D94" s="1" t="inlineStr">
        <is>
          <t>Abierto</t>
        </is>
      </c>
      <c r="E94" s="4" t="n"/>
      <c r="F94" s="119" t="n">
        <v>0</v>
      </c>
      <c r="G94" s="119" t="n">
        <v>0</v>
      </c>
      <c r="H94" s="119" t="n">
        <v>0</v>
      </c>
      <c r="I94" s="5">
        <f>F94*G94*H94</f>
        <v/>
      </c>
      <c r="J94" s="6" t="n">
        <v>0</v>
      </c>
      <c r="K94" s="19" t="n">
        <v>137.599296</v>
      </c>
      <c r="L94" s="188">
        <f>IFERROR(ROUNDUP((Q94/I94)/0.5,0)*0.5,0)</f>
        <v/>
      </c>
      <c r="M94" s="5">
        <f>IF(I94=0,J94*K94,I94*J94*K94)</f>
        <v/>
      </c>
      <c r="N94" s="38">
        <f>$N$111</f>
        <v/>
      </c>
      <c r="O94" s="39">
        <f>SUM(M94*N94)+M94</f>
        <v/>
      </c>
      <c r="P94" s="5">
        <f>SUM(O94-M94)</f>
        <v/>
      </c>
      <c r="Q94" s="128">
        <f>R94+S94</f>
        <v/>
      </c>
      <c r="R94" s="127">
        <f>J94*(MAX(1, ROUNDUP(I94/1.5, 0) * 2) *COSTE!$G$3)</f>
        <v/>
      </c>
      <c r="S94" s="126">
        <f>SUM(T94:AU94)</f>
        <v/>
      </c>
      <c r="T94" s="129">
        <f>((F94*H94)+((F94*G94)*3)+((G94*H94)*2))*COSTE!$G$13</f>
        <v/>
      </c>
      <c r="U94" s="129">
        <f>(((F94*H94)+((F94*G94)*3)+((G94*H94)*2))/10)*COSTE!$G$4</f>
        <v/>
      </c>
      <c r="V94" s="129">
        <f>T94*30%</f>
        <v/>
      </c>
      <c r="W94" s="129">
        <f>(I94/1)*COSTE!$G$4</f>
        <v/>
      </c>
      <c r="X94" s="129">
        <f>(I94/5)*COSTE!$G$4</f>
        <v/>
      </c>
      <c r="Y94" s="129">
        <f>ROUNDUP(I94/50,0)*((COSTE!$G$20/3)+(COSTE!$G$45*1)+(COSTE!$G$4/6)+(0.5))</f>
        <v/>
      </c>
      <c r="Z94" s="129">
        <f>(ROUNDUP(I94,0)*(3+15+2))*0.5</f>
        <v/>
      </c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L94" s="194" t="n"/>
    </row>
    <row r="95">
      <c r="A95" s="1" t="inlineStr">
        <is>
          <t>Mostrador</t>
        </is>
      </c>
      <c r="B95" s="1" t="inlineStr">
        <is>
          <t>Recto</t>
        </is>
      </c>
      <c r="C95" s="1" t="inlineStr">
        <is>
          <t>Melamina Color</t>
        </is>
      </c>
      <c r="D95" s="1" t="inlineStr">
        <is>
          <t>Con Puertas</t>
        </is>
      </c>
      <c r="E95" s="4" t="inlineStr">
        <is>
          <t>*New</t>
        </is>
      </c>
      <c r="F95" s="119" t="n">
        <v>0</v>
      </c>
      <c r="G95" s="119" t="n">
        <v>0</v>
      </c>
      <c r="H95" s="119" t="n">
        <v>0</v>
      </c>
      <c r="I95" s="5">
        <f>F95*G95*H95</f>
        <v/>
      </c>
      <c r="J95" s="6" t="n">
        <v>0</v>
      </c>
      <c r="K95" s="10" t="n">
        <v>290</v>
      </c>
      <c r="L95" s="188">
        <f>IFERROR(ROUNDUP((Q95/I95)/0.5,0)*0.5,0)</f>
        <v/>
      </c>
      <c r="M95" s="5">
        <f>IF(I95=0,J95*K95,I95*J95*K95)</f>
        <v/>
      </c>
      <c r="N95" s="38">
        <f>$N$111</f>
        <v/>
      </c>
      <c r="O95" s="39">
        <f>SUM(M95*N95)+M95</f>
        <v/>
      </c>
      <c r="P95" s="5">
        <f>SUM(O95-M95)</f>
        <v/>
      </c>
      <c r="Q95" s="128">
        <f>R95+S95</f>
        <v/>
      </c>
      <c r="R95" s="127">
        <f>J95*(MAX(1, ROUNDUP(I95/1.5, 0) * 2) *COSTE!$G$3)</f>
        <v/>
      </c>
      <c r="S95" s="126">
        <f>SUM(T95:AU95)</f>
        <v/>
      </c>
      <c r="T95" s="129">
        <f>(((F95*H95)*2)+((F95*G95)*3)+((G95*H95)*2))*COSTE!$G$16</f>
        <v/>
      </c>
      <c r="U95" s="129">
        <f>((((F95*H95)*2)+((F95*G95)*3)+((G95*H95)*2))/10)*COSTE!$G$4</f>
        <v/>
      </c>
      <c r="V95" s="129">
        <f>T95*30%</f>
        <v/>
      </c>
      <c r="W95" s="129">
        <f>(I95/0.75)*COSTE!$G$4</f>
        <v/>
      </c>
      <c r="X95" s="129">
        <f>(I95/5)*COSTE!$G$4</f>
        <v/>
      </c>
      <c r="Y95" s="129">
        <f>ROUNDUP(I95/50,0)*((COSTE!$G$20/3)+(COSTE!$G$45*1)+(COSTE!$G$4/6)+(0.5))</f>
        <v/>
      </c>
      <c r="Z95" s="129">
        <f>(ROUNDUP(I95,0)*(3+15+2 + (10*4)))*0.5</f>
        <v/>
      </c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L95" s="194" t="n"/>
    </row>
    <row r="96">
      <c r="A96" s="1" t="inlineStr">
        <is>
          <t>Mostrador</t>
        </is>
      </c>
      <c r="B96" s="1" t="inlineStr">
        <is>
          <t>Recto</t>
        </is>
      </c>
      <c r="C96" s="1" t="inlineStr">
        <is>
          <t>Melamina Color</t>
        </is>
      </c>
      <c r="D96" s="1" t="inlineStr">
        <is>
          <t>Abierto</t>
        </is>
      </c>
      <c r="E96" s="4" t="inlineStr">
        <is>
          <t>*New</t>
        </is>
      </c>
      <c r="F96" s="119" t="n">
        <v>0</v>
      </c>
      <c r="G96" s="119" t="n">
        <v>0</v>
      </c>
      <c r="H96" s="119" t="n">
        <v>0</v>
      </c>
      <c r="I96" s="5">
        <f>F96*G96*H96</f>
        <v/>
      </c>
      <c r="J96" s="6" t="n">
        <v>0</v>
      </c>
      <c r="K96" s="10" t="n">
        <v>260</v>
      </c>
      <c r="L96" s="188">
        <f>IFERROR(ROUNDUP((Q96/I96)/0.5,0)*0.5,0)</f>
        <v/>
      </c>
      <c r="M96" s="5">
        <f>IF(I96=0,J96*K96,I96*J96*K96)</f>
        <v/>
      </c>
      <c r="N96" s="38">
        <f>$N$111</f>
        <v/>
      </c>
      <c r="O96" s="39">
        <f>SUM(M96*N96)+M96</f>
        <v/>
      </c>
      <c r="P96" s="5">
        <f>SUM(O96-M96)</f>
        <v/>
      </c>
      <c r="Q96" s="128">
        <f>R96+S96</f>
        <v/>
      </c>
      <c r="R96" s="127">
        <f>J96*(MAX(1, ROUNDUP(I96/1.5, 0) * 2) *COSTE!$G$3)</f>
        <v/>
      </c>
      <c r="S96" s="126">
        <f>SUM(T96:AU96)</f>
        <v/>
      </c>
      <c r="T96" s="129">
        <f>((F96*H96)+((F96*G96)*3)+((G96*H96)*2))*COSTE!$G$16</f>
        <v/>
      </c>
      <c r="U96" s="129">
        <f>(((F96*H96)+((F96*G96)*3)+((G96*H96)*2))/10)*COSTE!$G$4</f>
        <v/>
      </c>
      <c r="V96" s="129">
        <f>T96*30%</f>
        <v/>
      </c>
      <c r="W96" s="129">
        <f>(I96/1)*COSTE!$G$4</f>
        <v/>
      </c>
      <c r="X96" s="129">
        <f>(I96/5)*COSTE!$G$4</f>
        <v/>
      </c>
      <c r="Y96" s="129">
        <f>ROUNDUP(I96/50,0)*((COSTE!$G$20/3)+(COSTE!$G$45*1)+(COSTE!$G$4/6)+(0.5))</f>
        <v/>
      </c>
      <c r="Z96" s="129">
        <f>(ROUNDUP(I96,0)*(3+15+2))*0.5</f>
        <v/>
      </c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L96" s="194" t="n"/>
    </row>
    <row r="97">
      <c r="A97" s="1" t="inlineStr">
        <is>
          <t>Mostrador</t>
        </is>
      </c>
      <c r="B97" s="1" t="inlineStr">
        <is>
          <t>Curvo</t>
        </is>
      </c>
      <c r="C97" s="1" t="inlineStr">
        <is>
          <t>Aglomerado</t>
        </is>
      </c>
      <c r="D97" s="1" t="inlineStr">
        <is>
          <t xml:space="preserve">Con Puertas </t>
        </is>
      </c>
      <c r="E97" s="4" t="n"/>
      <c r="F97" s="119" t="n">
        <v>0</v>
      </c>
      <c r="G97" s="119" t="n">
        <v>0</v>
      </c>
      <c r="H97" s="119" t="n">
        <v>0</v>
      </c>
      <c r="I97" s="5">
        <f>F97*G97*H97</f>
        <v/>
      </c>
      <c r="J97" s="6" t="n">
        <v>0</v>
      </c>
      <c r="K97" s="19" t="n">
        <v>216.574328</v>
      </c>
      <c r="L97" s="188">
        <f>IFERROR(ROUNDUP((Q97/I97)/0.5,0)*0.5,0)</f>
        <v/>
      </c>
      <c r="M97" s="5">
        <f>IF(I97=0,J97*K97,I97*J97*K97)</f>
        <v/>
      </c>
      <c r="N97" s="38">
        <f>$N$111</f>
        <v/>
      </c>
      <c r="O97" s="39">
        <f>SUM(M97*N97)+M97</f>
        <v/>
      </c>
      <c r="P97" s="5">
        <f>SUM(O97-M97)</f>
        <v/>
      </c>
      <c r="Q97" s="128">
        <f>R97+S97</f>
        <v/>
      </c>
      <c r="R97" s="127">
        <f>J97*(MAX(1, ROUNDUP(I97/1.5, 0) * 6) *COSTE!$G$3)</f>
        <v/>
      </c>
      <c r="S97" s="126">
        <f>SUM(T97:AU97)</f>
        <v/>
      </c>
      <c r="T97" s="129">
        <f>(((F97*H97)*2)+((F97*G97)*3)+((G97*H97)*2))*COSTE!$G$20</f>
        <v/>
      </c>
      <c r="U97" s="129">
        <f>((((F97*H97)*2)+((F97*G97)*3)+((G97*H97)*2))/10)*COSTE!$G$4</f>
        <v/>
      </c>
      <c r="V97" s="129">
        <f>T97*30%</f>
        <v/>
      </c>
      <c r="W97" s="129">
        <f>(I97/0.2)*COSTE!$G$4</f>
        <v/>
      </c>
      <c r="X97" s="129">
        <f>(I97/5)*COSTE!$G$4</f>
        <v/>
      </c>
      <c r="Y97" s="129">
        <f>ROUNDUP(I97/50,0)*((COSTE!$G$20/3)+(COSTE!$G$45*1)+(COSTE!$G$4/6)+(0.5))</f>
        <v/>
      </c>
      <c r="Z97" s="129">
        <f>(ROUNDUP(I97,0)*(3+15+2 + (10*4)))*0.5</f>
        <v/>
      </c>
      <c r="AA97" s="112" t="n"/>
      <c r="AB97" s="112" t="n"/>
      <c r="AC97" s="129">
        <f>((((F97*H97)*2)+((F97*G97)*3)+((G97*H97)*2))*COSTE!$G$31)*0.25</f>
        <v/>
      </c>
      <c r="AD97" s="129">
        <f>I97*COSTE!$G$11</f>
        <v/>
      </c>
      <c r="AE97" s="112" t="n"/>
      <c r="AF97" s="112" t="n"/>
      <c r="AG97" s="112" t="n"/>
      <c r="AH97" s="112" t="n"/>
      <c r="AI97" s="112" t="n"/>
      <c r="AL97" s="194" t="n"/>
    </row>
    <row r="98">
      <c r="A98" s="1" t="inlineStr">
        <is>
          <t>Mostrador</t>
        </is>
      </c>
      <c r="B98" s="1" t="inlineStr">
        <is>
          <t>Curvo</t>
        </is>
      </c>
      <c r="C98" s="1" t="inlineStr">
        <is>
          <t>Aglomerado</t>
        </is>
      </c>
      <c r="D98" s="1" t="inlineStr">
        <is>
          <t>Abierto</t>
        </is>
      </c>
      <c r="E98" s="4" t="n"/>
      <c r="F98" s="119" t="n">
        <v>0</v>
      </c>
      <c r="G98" s="119" t="n">
        <v>0</v>
      </c>
      <c r="H98" s="119" t="n">
        <v>0</v>
      </c>
      <c r="I98" s="5">
        <f>F98*G98*H98</f>
        <v/>
      </c>
      <c r="J98" s="6" t="n">
        <v>0</v>
      </c>
      <c r="K98" s="19" t="n">
        <v>167.479028</v>
      </c>
      <c r="L98" s="188">
        <f>IFERROR(ROUNDUP((Q98/I98)/0.5,0)*0.5,0)</f>
        <v/>
      </c>
      <c r="M98" s="5">
        <f>IF(I98=0,J98*K98,I98*J98*K98)</f>
        <v/>
      </c>
      <c r="N98" s="38">
        <f>$N$111</f>
        <v/>
      </c>
      <c r="O98" s="39">
        <f>SUM(M98*N98)+M98</f>
        <v/>
      </c>
      <c r="P98" s="5">
        <f>SUM(O98-M98)</f>
        <v/>
      </c>
      <c r="Q98" s="128">
        <f>R98+S98</f>
        <v/>
      </c>
      <c r="R98" s="127">
        <f>J98*(MAX(1, ROUNDUP(I98/1.5, 0) * 6) *COSTE!$G$3)</f>
        <v/>
      </c>
      <c r="S98" s="126">
        <f>SUM(T98:AU98)</f>
        <v/>
      </c>
      <c r="T98" s="129">
        <f>((F98*H98)+((F98*G98)*3)+((G98*H98)*2))*COSTE!$G$20</f>
        <v/>
      </c>
      <c r="U98" s="129">
        <f>(((F98*H98)+((F98*G98)*3)+((G98*H98)*2))/10)*COSTE!$G$4</f>
        <v/>
      </c>
      <c r="V98" s="129">
        <f>T98*30%</f>
        <v/>
      </c>
      <c r="W98" s="129">
        <f>(I98/0.25)*COSTE!$G$4</f>
        <v/>
      </c>
      <c r="X98" s="129">
        <f>(I98/5)*COSTE!$G$4</f>
        <v/>
      </c>
      <c r="Y98" s="129">
        <f>ROUNDUP(I98/50,0)*((COSTE!$G$20/3)+(COSTE!$G$45*1)+(COSTE!$G$4/6)+(0.5))</f>
        <v/>
      </c>
      <c r="Z98" s="129">
        <f>(ROUNDUP(I98,0)*(3+15+2))*0.5</f>
        <v/>
      </c>
      <c r="AA98" s="112" t="n"/>
      <c r="AB98" s="112" t="n"/>
      <c r="AC98" s="129">
        <f>((((F98*H98)*2)+((F98*G98)*3)+((G98*H98)*2))*COSTE!$G$31)*0.25</f>
        <v/>
      </c>
      <c r="AD98" s="129">
        <f>I98*COSTE!$G$11</f>
        <v/>
      </c>
      <c r="AE98" s="112" t="n"/>
      <c r="AF98" s="112" t="n"/>
      <c r="AG98" s="112" t="n"/>
      <c r="AH98" s="112" t="n"/>
      <c r="AI98" s="112" t="n"/>
      <c r="AL98" s="194" t="n"/>
    </row>
    <row r="99">
      <c r="A99" s="1" t="inlineStr">
        <is>
          <t>Mostrador</t>
        </is>
      </c>
      <c r="B99" s="1" t="inlineStr">
        <is>
          <t>Curvo</t>
        </is>
      </c>
      <c r="C99" s="1" t="inlineStr">
        <is>
          <t>Lacado</t>
        </is>
      </c>
      <c r="D99" s="1" t="inlineStr">
        <is>
          <t xml:space="preserve">Con Puertas </t>
        </is>
      </c>
      <c r="E99" s="4" t="inlineStr">
        <is>
          <t>*New</t>
        </is>
      </c>
      <c r="F99" s="119" t="n">
        <v>0</v>
      </c>
      <c r="G99" s="119" t="n">
        <v>0</v>
      </c>
      <c r="H99" s="119" t="n">
        <v>0</v>
      </c>
      <c r="I99" s="5">
        <f>F99*G99*H99</f>
        <v/>
      </c>
      <c r="J99" s="6" t="n">
        <v>0</v>
      </c>
      <c r="K99" s="10" t="n">
        <v>762</v>
      </c>
      <c r="L99" s="188">
        <f>IFERROR(ROUNDUP((Q99/I99)/0.5,0)*0.5,0)</f>
        <v/>
      </c>
      <c r="M99" s="5">
        <f>IF(I99=0,J99*K99,I99*J99*K99)</f>
        <v/>
      </c>
      <c r="N99" s="38">
        <f>$N$111</f>
        <v/>
      </c>
      <c r="O99" s="39">
        <f>SUM(M99*N99)+M99</f>
        <v/>
      </c>
      <c r="P99" s="5">
        <f>SUM(O99-M99)</f>
        <v/>
      </c>
      <c r="Q99" s="128">
        <f>R99+S99</f>
        <v/>
      </c>
      <c r="R99" s="127">
        <f>J99*(MAX(1, ROUNDUP(I99/1.5, 0) * 6) *COSTE!$G$3)</f>
        <v/>
      </c>
      <c r="S99" s="126">
        <f>SUM(T99:AU99)</f>
        <v/>
      </c>
      <c r="T99" s="129">
        <f>(((F99*H99)*2)+((F99*G99)*3)+((G99*H99)*2))*COSTE!$G$20</f>
        <v/>
      </c>
      <c r="U99" s="129">
        <f>((((F99*H99)*2)+((F99*G99)*3)+((G99*H99)*2))/10)*COSTE!$G$4</f>
        <v/>
      </c>
      <c r="V99" s="129">
        <f>T99*30%</f>
        <v/>
      </c>
      <c r="W99" s="129">
        <f>(I99*COSTE!$G$4)*8</f>
        <v/>
      </c>
      <c r="X99" s="129">
        <f>(I99/5)*COSTE!$G$4</f>
        <v/>
      </c>
      <c r="Y99" s="129">
        <f>ROUNDUP(I99/50,0)*((COSTE!$G$20/3)+(COSTE!$G$45*1)+(COSTE!$G$4/6)+(0.5))</f>
        <v/>
      </c>
      <c r="Z99" s="129">
        <f>(ROUNDUP(I99,0)*(3+15+2 + (10*4)))*0.5</f>
        <v/>
      </c>
      <c r="AA99" s="129">
        <f>((((F99*H99)*2)+((F99*G99)*3)+((G99*H99)*2))*2)*COSTE!$G$90</f>
        <v/>
      </c>
      <c r="AB99" s="129">
        <f>(2*COSTE!$G$4)*J99</f>
        <v/>
      </c>
      <c r="AC99" s="129">
        <f>((((F99*H99)*2)+((F99*G99)*3)+((G99*H99)*2))*COSTE!$G$31)*0.25</f>
        <v/>
      </c>
      <c r="AD99" s="129">
        <f>I99*COSTE!$G$11</f>
        <v/>
      </c>
      <c r="AE99" s="112" t="n"/>
      <c r="AF99" s="112" t="n"/>
      <c r="AG99" s="112" t="n"/>
      <c r="AH99" s="112" t="n"/>
      <c r="AI99" s="112" t="n"/>
      <c r="AL99" s="194" t="n"/>
    </row>
    <row r="100">
      <c r="A100" s="1" t="inlineStr">
        <is>
          <t>Mostrador</t>
        </is>
      </c>
      <c r="B100" s="1" t="inlineStr">
        <is>
          <t>Curvo</t>
        </is>
      </c>
      <c r="C100" s="1" t="inlineStr">
        <is>
          <t>Lacado</t>
        </is>
      </c>
      <c r="D100" s="1" t="inlineStr">
        <is>
          <t>Abierto</t>
        </is>
      </c>
      <c r="E100" s="4" t="inlineStr">
        <is>
          <t>*New</t>
        </is>
      </c>
      <c r="F100" s="119" t="n">
        <v>0</v>
      </c>
      <c r="G100" s="119" t="n">
        <v>0</v>
      </c>
      <c r="H100" s="119" t="n">
        <v>0</v>
      </c>
      <c r="I100" s="5">
        <f>F100*G100*H100</f>
        <v/>
      </c>
      <c r="J100" s="6" t="n">
        <v>0</v>
      </c>
      <c r="K100" s="10" t="n">
        <v>630</v>
      </c>
      <c r="L100" s="188">
        <f>IFERROR(ROUNDUP((Q100/I100)/0.5,0)*0.5,0)</f>
        <v/>
      </c>
      <c r="M100" s="5">
        <f>IF(I100=0,J100*K100,I100*J100*K100)</f>
        <v/>
      </c>
      <c r="N100" s="38">
        <f>$N$111</f>
        <v/>
      </c>
      <c r="O100" s="39">
        <f>SUM(M100*N100)+M100</f>
        <v/>
      </c>
      <c r="P100" s="5">
        <f>SUM(O100-M100)</f>
        <v/>
      </c>
      <c r="Q100" s="128">
        <f>R100+S100</f>
        <v/>
      </c>
      <c r="R100" s="127">
        <f>J100*(MAX(1, ROUNDUP(I100/1.5, 0) * 6) *COSTE!$G$3)</f>
        <v/>
      </c>
      <c r="S100" s="126">
        <f>SUM(T100:AU100)</f>
        <v/>
      </c>
      <c r="T100" s="129">
        <f>((F100*H100)+((F100*G100)*3)+((G100*H100)*2))*COSTE!$G$20</f>
        <v/>
      </c>
      <c r="U100" s="129">
        <f>(((F100*H100)+((F100*G100)*3)+((G100*H100)*2))/10)*COSTE!$G$4</f>
        <v/>
      </c>
      <c r="V100" s="129">
        <f>T100*30%</f>
        <v/>
      </c>
      <c r="W100" s="129">
        <f>(I100*COSTE!$G$4)*6</f>
        <v/>
      </c>
      <c r="X100" s="129">
        <f>(I100/5)*COSTE!$G$4</f>
        <v/>
      </c>
      <c r="Y100" s="129">
        <f>ROUNDUP(I100/50,0)*((COSTE!$G$20/3)+(COSTE!$G$45*1)+(COSTE!$G$4/6)+(0.5))</f>
        <v/>
      </c>
      <c r="Z100" s="129">
        <f>(ROUNDUP(I100,0)*(3+15+2))*0.5</f>
        <v/>
      </c>
      <c r="AA100" s="129">
        <f>(((F100*H100)+((F100*G100)*3)+((G100*H100)*2))*2)*COSTE!$G$90</f>
        <v/>
      </c>
      <c r="AB100" s="129">
        <f>(2*COSTE!$G$4)*J100</f>
        <v/>
      </c>
      <c r="AC100" s="129">
        <f>((((F100*H100)*2)+((F100*G100)*3)+((G100*H100)*2))*COSTE!$G$31)*0.25</f>
        <v/>
      </c>
      <c r="AD100" s="129">
        <f>I100*COSTE!$G$11</f>
        <v/>
      </c>
      <c r="AE100" s="112" t="n"/>
      <c r="AF100" s="112" t="n"/>
      <c r="AG100" s="112" t="n"/>
      <c r="AH100" s="112" t="n"/>
      <c r="AI100" s="112" t="n"/>
      <c r="AL100" s="194" t="n"/>
    </row>
    <row r="101">
      <c r="A101" s="1" t="inlineStr">
        <is>
          <t>Mostrador</t>
        </is>
      </c>
      <c r="B101" s="1" t="inlineStr">
        <is>
          <t>Curvo</t>
        </is>
      </c>
      <c r="C101" s="1" t="inlineStr">
        <is>
          <t>Formica</t>
        </is>
      </c>
      <c r="D101" s="1" t="inlineStr">
        <is>
          <t xml:space="preserve">Con Puertas </t>
        </is>
      </c>
      <c r="E101" s="4" t="n"/>
      <c r="F101" s="119" t="n">
        <v>0</v>
      </c>
      <c r="G101" s="119" t="n">
        <v>0</v>
      </c>
      <c r="H101" s="119" t="n">
        <v>0</v>
      </c>
      <c r="I101" s="5">
        <f>F101*G101*H101</f>
        <v/>
      </c>
      <c r="J101" s="6" t="n">
        <v>0</v>
      </c>
      <c r="K101" s="19" t="n">
        <v>305.678372</v>
      </c>
      <c r="L101" s="188">
        <f>IFERROR(ROUNDUP((Q101/I101)/0.5,0)*0.5,0)</f>
        <v/>
      </c>
      <c r="M101" s="5">
        <f>IF(I101=0,J101*K101,I101*J101*K101)</f>
        <v/>
      </c>
      <c r="N101" s="38">
        <f>$N$111</f>
        <v/>
      </c>
      <c r="O101" s="39">
        <f>SUM(M101*N101)+M101</f>
        <v/>
      </c>
      <c r="P101" s="5">
        <f>SUM(O101-M101)</f>
        <v/>
      </c>
      <c r="Q101" s="128">
        <f>R101+S101</f>
        <v/>
      </c>
      <c r="R101" s="127">
        <f>J101*(MAX(1, ROUNDUP(I101/1.5, 0) * 6) *COSTE!$G$3)</f>
        <v/>
      </c>
      <c r="S101" s="126">
        <f>SUM(T101:AU101)</f>
        <v/>
      </c>
      <c r="T101" s="129">
        <f>(((F101*H101)*2)+((F101*G101)*3)+((G101*H101)*2))*COSTE!$G$20</f>
        <v/>
      </c>
      <c r="U101" s="129">
        <f>((((F101*H101)*2)+((F101*G101)*3)+((G101*H101)*2))/10)*COSTE!$G$4</f>
        <v/>
      </c>
      <c r="V101" s="129">
        <f>T101*30%</f>
        <v/>
      </c>
      <c r="W101" s="129">
        <f>(I101*COSTE!$G$4)*8</f>
        <v/>
      </c>
      <c r="X101" s="129">
        <f>(I101/5)*COSTE!$G$4</f>
        <v/>
      </c>
      <c r="Y101" s="129">
        <f>ROUNDUP(I101/50,0)*((COSTE!$G$20/3)+(COSTE!$G$45*1)+(COSTE!$G$4/6)+(0.5))</f>
        <v/>
      </c>
      <c r="Z101" s="129">
        <f>(ROUNDUP(I101,0)*(3+15+2 + (10*4)))*0.5</f>
        <v/>
      </c>
      <c r="AA101" s="112" t="n"/>
      <c r="AB101" s="112" t="n"/>
      <c r="AC101" s="129">
        <f>(((F101*H101)*2)+((F101*G101)*3)+((G101*H101)*2))*COSTE!$G$18</f>
        <v/>
      </c>
      <c r="AD101" s="129">
        <f>I101*COSTE!$G$11</f>
        <v/>
      </c>
      <c r="AE101" s="112" t="n"/>
      <c r="AF101" s="112" t="n"/>
      <c r="AG101" s="112" t="n"/>
      <c r="AH101" s="112" t="n"/>
      <c r="AI101" s="112" t="n"/>
      <c r="AL101" s="194" t="n"/>
    </row>
    <row r="102">
      <c r="A102" s="1" t="inlineStr">
        <is>
          <t>Mostrador</t>
        </is>
      </c>
      <c r="B102" s="1" t="inlineStr">
        <is>
          <t>Curvo</t>
        </is>
      </c>
      <c r="C102" s="1" t="inlineStr">
        <is>
          <t>Formica</t>
        </is>
      </c>
      <c r="D102" s="1" t="inlineStr">
        <is>
          <t>Abierto</t>
        </is>
      </c>
      <c r="E102" s="4" t="n"/>
      <c r="F102" s="119" t="n">
        <v>0</v>
      </c>
      <c r="G102" s="119" t="n">
        <v>0</v>
      </c>
      <c r="H102" s="119" t="n">
        <v>0</v>
      </c>
      <c r="I102" s="5">
        <f>F102*G102*H102</f>
        <v/>
      </c>
      <c r="J102" s="6" t="n">
        <v>0</v>
      </c>
      <c r="K102" s="19" t="n">
        <v>244.851968</v>
      </c>
      <c r="L102" s="188">
        <f>IFERROR(ROUNDUP((Q102/I102)/0.5,0)*0.5,0)</f>
        <v/>
      </c>
      <c r="M102" s="5">
        <f>IF(I102=0,J102*K102,I102*J102*K102)</f>
        <v/>
      </c>
      <c r="N102" s="38">
        <f>$N$111</f>
        <v/>
      </c>
      <c r="O102" s="39">
        <f>SUM(M102*N102)+M102</f>
        <v/>
      </c>
      <c r="P102" s="5">
        <f>SUM(O102-M102)</f>
        <v/>
      </c>
      <c r="Q102" s="128">
        <f>R102+S102</f>
        <v/>
      </c>
      <c r="R102" s="127">
        <f>J102*(MAX(1, ROUNDUP(I102/1.5, 0) * 6) *COSTE!$G$3)</f>
        <v/>
      </c>
      <c r="S102" s="126">
        <f>SUM(T102:AU102)</f>
        <v/>
      </c>
      <c r="T102" s="129">
        <f>((F102*H102)+((F102*G102)*3)+((G102*H102)*2))*COSTE!$G$20</f>
        <v/>
      </c>
      <c r="U102" s="129">
        <f>(((F102*H102)+((F102*G102)*3)+((G102*H102)*2))/10)*COSTE!$G$4</f>
        <v/>
      </c>
      <c r="V102" s="129">
        <f>T102*30%</f>
        <v/>
      </c>
      <c r="W102" s="129">
        <f>(I102*COSTE!$G$4)*6</f>
        <v/>
      </c>
      <c r="X102" s="129">
        <f>(I102/5)*COSTE!$G$4</f>
        <v/>
      </c>
      <c r="Y102" s="129">
        <f>ROUNDUP(I102/50,0)*((COSTE!$G$20/3)+(COSTE!$G$45*1)+(COSTE!$G$4/6)+(0.5))</f>
        <v/>
      </c>
      <c r="Z102" s="129">
        <f>(ROUNDUP(I102,0)*(3+15+2))*0.5</f>
        <v/>
      </c>
      <c r="AA102" s="112" t="n"/>
      <c r="AB102" s="112" t="n"/>
      <c r="AC102" s="129">
        <f>((F102*H102)+((F102*G102)*3)+((G102*H102)*2))*COSTE!$G$18</f>
        <v/>
      </c>
      <c r="AD102" s="129">
        <f>I102*COSTE!$G$11</f>
        <v/>
      </c>
      <c r="AE102" s="112" t="n"/>
      <c r="AF102" s="112" t="n"/>
      <c r="AG102" s="112" t="n"/>
      <c r="AH102" s="112" t="n"/>
      <c r="AI102" s="112" t="n"/>
      <c r="AL102" s="194" t="n"/>
    </row>
    <row r="103">
      <c r="A103" s="104" t="inlineStr">
        <is>
          <t>FAMILIA</t>
        </is>
      </c>
      <c r="B103" s="104" t="inlineStr">
        <is>
          <t>SUB F.</t>
        </is>
      </c>
      <c r="C103" s="104" t="inlineStr">
        <is>
          <t>MATERIAL</t>
        </is>
      </c>
      <c r="D103" s="100" t="inlineStr">
        <is>
          <t>MESA</t>
        </is>
      </c>
      <c r="E103" s="100" t="inlineStr">
        <is>
          <t>COMENTARIOS</t>
        </is>
      </c>
      <c r="F103" s="99" t="inlineStr">
        <is>
          <t>Largo</t>
        </is>
      </c>
      <c r="G103" s="99" t="inlineStr">
        <is>
          <t>Ancho</t>
        </is>
      </c>
      <c r="H103" s="99" t="inlineStr">
        <is>
          <t>Alto Falda</t>
        </is>
      </c>
      <c r="I103" s="101" t="inlineStr">
        <is>
          <t>m2</t>
        </is>
      </c>
      <c r="J103" s="106" t="inlineStr">
        <is>
          <t>UDS</t>
        </is>
      </c>
      <c r="K103" s="101" t="inlineStr">
        <is>
          <t>€/m2</t>
        </is>
      </c>
      <c r="L103" s="142" t="inlineStr">
        <is>
          <t>€/m2 Real</t>
        </is>
      </c>
      <c r="M103" s="101" t="inlineStr">
        <is>
          <t>€/Empresa</t>
        </is>
      </c>
      <c r="N103" s="102" t="inlineStr">
        <is>
          <t>Markup %</t>
        </is>
      </c>
      <c r="O103" s="101" t="inlineStr">
        <is>
          <t>€ TOTAL</t>
        </is>
      </c>
      <c r="P103" s="101" t="inlineStr">
        <is>
          <t>BEN.EMP</t>
        </is>
      </c>
      <c r="Q103" s="122" t="inlineStr">
        <is>
          <t>COSTE TOT</t>
        </is>
      </c>
      <c r="R103" s="136" t="inlineStr">
        <is>
          <t>Diseño (2m2/1h)</t>
        </is>
      </c>
      <c r="S103" s="109" t="inlineStr">
        <is>
          <t xml:space="preserve">COSTE MAT </t>
        </is>
      </c>
      <c r="T103" s="116" t="inlineStr">
        <is>
          <t xml:space="preserve">Tableros </t>
        </is>
      </c>
      <c r="U103" s="111" t="inlineStr">
        <is>
          <t>(10/5 m2/h)  Corte</t>
        </is>
      </c>
      <c r="V103" s="111" t="inlineStr">
        <is>
          <t>Merma 30%</t>
        </is>
      </c>
      <c r="W103" s="147" t="inlineStr">
        <is>
          <t>(1/0,7m2/h) T. Fabricación</t>
        </is>
      </c>
      <c r="X103" s="111" t="inlineStr">
        <is>
          <t>(5m2/h) T. Paletizacion</t>
        </is>
      </c>
      <c r="Y103" s="110" t="inlineStr">
        <is>
          <t>Palets</t>
        </is>
      </c>
      <c r="Z103" s="111" t="inlineStr">
        <is>
          <t>Tornilleria</t>
        </is>
      </c>
      <c r="AA103" s="110" t="inlineStr">
        <is>
          <t>Alquiler Patas</t>
        </is>
      </c>
      <c r="AB103" s="112" t="n"/>
      <c r="AC103" s="112" t="n"/>
      <c r="AD103" s="112" t="n"/>
      <c r="AE103" s="112" t="n"/>
      <c r="AF103" s="112" t="n"/>
      <c r="AG103" s="112" t="n"/>
      <c r="AH103" s="112" t="n"/>
      <c r="AI103" s="112" t="n"/>
    </row>
    <row r="104">
      <c r="A104" s="1" t="inlineStr">
        <is>
          <t>Mesa</t>
        </is>
      </c>
      <c r="B104" s="1" t="inlineStr">
        <is>
          <t>U</t>
        </is>
      </c>
      <c r="C104" s="1" t="inlineStr">
        <is>
          <t>Aglomerado</t>
        </is>
      </c>
      <c r="D104" s="1" t="n"/>
      <c r="E104" s="4" t="n"/>
      <c r="F104" s="119" t="n">
        <v>0</v>
      </c>
      <c r="G104" s="119" t="n">
        <v>0</v>
      </c>
      <c r="H104" s="119" t="n">
        <v>0</v>
      </c>
      <c r="I104" s="5">
        <f>F104*G104</f>
        <v/>
      </c>
      <c r="J104" s="6" t="n">
        <v>0</v>
      </c>
      <c r="K104" s="19" t="n">
        <v>35</v>
      </c>
      <c r="L104" s="188">
        <f>IFERROR(ROUNDUP((Q104/I104)/0.5,0)*0.5,0)</f>
        <v/>
      </c>
      <c r="M104" s="5">
        <f>IF(I104=0,J104*K104,I104*J104*K104)</f>
        <v/>
      </c>
      <c r="N104" s="38">
        <f>$N$111</f>
        <v/>
      </c>
      <c r="O104" s="39">
        <f>SUM(M104*N104)+M104</f>
        <v/>
      </c>
      <c r="P104" s="5">
        <f>SUM(O104-M104)</f>
        <v/>
      </c>
      <c r="Q104" s="128">
        <f>R104+S104</f>
        <v/>
      </c>
      <c r="R104" s="127">
        <f>J104*(MAX(1, ROUNDUP(I104/2, 0) * 1) *COSTE!$G$3)</f>
        <v/>
      </c>
      <c r="S104" s="126">
        <f>SUM(T104:AU104)</f>
        <v/>
      </c>
      <c r="T104" s="129">
        <f>COSTE!$G$20*(((F104*H104)*2)+((G104*H104)*2)+(F104*G104))</f>
        <v/>
      </c>
      <c r="U104" s="129">
        <f>((((F104*H104)*2)+((G104*H104)*2)+(F104*G104))/10)*COSTE!$G$4</f>
        <v/>
      </c>
      <c r="V104" s="129">
        <f>T104*30%</f>
        <v/>
      </c>
      <c r="W104" s="129">
        <f>(I104/1)*COSTE!$G$4</f>
        <v/>
      </c>
      <c r="X104" s="129">
        <f>(I104/5)*COSTE!$G$4</f>
        <v/>
      </c>
      <c r="Y104" s="129">
        <f>ROUNDUP(I104/50,0)*((COSTE!$G$20/3)+(COSTE!$G$45*1)+(COSTE!$G$4/6)+(0.5))</f>
        <v/>
      </c>
      <c r="Z104" s="129">
        <f>I104*0.02</f>
        <v/>
      </c>
      <c r="AA104" s="126">
        <f>J104*10</f>
        <v/>
      </c>
      <c r="AB104" s="112" t="n"/>
      <c r="AC104" s="112" t="n"/>
      <c r="AD104" s="112" t="n"/>
      <c r="AE104" s="112" t="n"/>
      <c r="AF104" s="112" t="n"/>
      <c r="AG104" s="112" t="n"/>
      <c r="AH104" s="112" t="n"/>
      <c r="AI104" s="112" t="n"/>
      <c r="AL104" s="193" t="n"/>
    </row>
    <row r="105">
      <c r="A105" s="1" t="inlineStr">
        <is>
          <t>Mesa</t>
        </is>
      </c>
      <c r="B105" s="1" t="inlineStr">
        <is>
          <t>U</t>
        </is>
      </c>
      <c r="C105" s="1" t="inlineStr">
        <is>
          <t>Melamina</t>
        </is>
      </c>
      <c r="D105" s="1" t="n"/>
      <c r="E105" s="4" t="n"/>
      <c r="F105" s="119" t="n">
        <v>0</v>
      </c>
      <c r="G105" s="119" t="n">
        <v>0</v>
      </c>
      <c r="H105" s="119" t="n">
        <v>0</v>
      </c>
      <c r="I105" s="5">
        <f>F105*G105</f>
        <v/>
      </c>
      <c r="J105" s="6" t="n">
        <v>0</v>
      </c>
      <c r="K105" s="19" t="n">
        <v>50</v>
      </c>
      <c r="L105" s="188">
        <f>IFERROR(ROUNDUP((Q105/I105)/0.5,0)*0.5,0)</f>
        <v/>
      </c>
      <c r="M105" s="5">
        <f>IF(I105=0,J105*K105,I105*J105*K105)</f>
        <v/>
      </c>
      <c r="N105" s="38">
        <f>$N$111</f>
        <v/>
      </c>
      <c r="O105" s="39">
        <f>SUM(M105*N105)+M105</f>
        <v/>
      </c>
      <c r="P105" s="5">
        <f>SUM(O105-M105)</f>
        <v/>
      </c>
      <c r="Q105" s="128">
        <f>R105+S105</f>
        <v/>
      </c>
      <c r="R105" s="127">
        <f>J105*(MAX(1, ROUNDUP(I105/2, 0) * 1) *COSTE!$G$3)</f>
        <v/>
      </c>
      <c r="S105" s="126">
        <f>SUM(T105:AU105)</f>
        <v/>
      </c>
      <c r="T105" s="129">
        <f>COSTE!$G$13*(((F104*H104)*2)+((G104*H104)*2)+(F104*G104))</f>
        <v/>
      </c>
      <c r="U105" s="129">
        <f>((((F104*H104)*2)+((G104*H104)*2)+(F104*G104))/5)*COSTE!$G$4</f>
        <v/>
      </c>
      <c r="V105" s="129">
        <f>T105*30%</f>
        <v/>
      </c>
      <c r="W105" s="129">
        <f>(I105/0.75)*COSTE!$G$4</f>
        <v/>
      </c>
      <c r="X105" s="129">
        <f>(I105/5)*COSTE!$G$4</f>
        <v/>
      </c>
      <c r="Y105" s="129">
        <f>ROUNDUP(I105/50,0)*((COSTE!$G$20/3)+(COSTE!$G$45*1)+(COSTE!$G$4/6)+(0.5))</f>
        <v/>
      </c>
      <c r="Z105" s="129">
        <f>I105*0.02</f>
        <v/>
      </c>
      <c r="AA105" s="126">
        <f>J105*10</f>
        <v/>
      </c>
      <c r="AB105" s="112" t="n"/>
      <c r="AC105" s="112" t="n"/>
      <c r="AD105" s="112" t="n"/>
      <c r="AE105" s="112" t="n"/>
      <c r="AF105" s="112" t="n"/>
      <c r="AG105" s="112" t="n"/>
      <c r="AH105" s="112" t="n"/>
      <c r="AI105" s="112" t="n"/>
      <c r="AL105" s="193" t="n"/>
    </row>
    <row r="106">
      <c r="A106" s="1" t="inlineStr">
        <is>
          <t>Mesa</t>
        </is>
      </c>
      <c r="B106" s="1" t="inlineStr">
        <is>
          <t>U</t>
        </is>
      </c>
      <c r="C106" s="1" t="inlineStr">
        <is>
          <t>Melamina Especial</t>
        </is>
      </c>
      <c r="D106" s="1" t="n"/>
      <c r="E106" s="4" t="n"/>
      <c r="F106" s="119" t="n">
        <v>0</v>
      </c>
      <c r="G106" s="119" t="n">
        <v>0</v>
      </c>
      <c r="H106" s="119" t="n">
        <v>0</v>
      </c>
      <c r="I106" s="5">
        <f>F106*G106</f>
        <v/>
      </c>
      <c r="J106" s="6" t="n">
        <v>0</v>
      </c>
      <c r="K106" s="19" t="n">
        <v>75</v>
      </c>
      <c r="L106" s="188">
        <f>IFERROR(ROUNDUP((Q106/I106)/0.5,0)*0.5,0)</f>
        <v/>
      </c>
      <c r="M106" s="5">
        <f>IF(I106=0,J106*K106,I106*J106*K106)</f>
        <v/>
      </c>
      <c r="N106" s="38">
        <f>$N$111</f>
        <v/>
      </c>
      <c r="O106" s="39">
        <f>SUM(M106*N106)+M106</f>
        <v/>
      </c>
      <c r="P106" s="5">
        <f>SUM(O106-M106)</f>
        <v/>
      </c>
      <c r="Q106" s="128">
        <f>R106+S106</f>
        <v/>
      </c>
      <c r="R106" s="127">
        <f>J106*(MAX(1, ROUNDUP(I106/2, 0) * 1) *COSTE!$G$3)</f>
        <v/>
      </c>
      <c r="S106" s="126">
        <f>SUM(T106:AU106)</f>
        <v/>
      </c>
      <c r="T106" s="129">
        <f>COSTE!$G$34*(((F104*H104)*2)+((G104*H104)*2)+(F104*G104))</f>
        <v/>
      </c>
      <c r="U106" s="129">
        <f>((((F104*H104)*2)+((G104*H104)*2)+(F104*G104))/5)*COSTE!$G$4</f>
        <v/>
      </c>
      <c r="V106" s="129">
        <f>T106*30%</f>
        <v/>
      </c>
      <c r="W106" s="129">
        <f>(I106/0.75)*COSTE!$G$4</f>
        <v/>
      </c>
      <c r="X106" s="129">
        <f>(I106/5)*COSTE!$G$4</f>
        <v/>
      </c>
      <c r="Y106" s="129">
        <f>ROUNDUP(I106/50,0)*((COSTE!$G$20/3)+(COSTE!$G$45*1)+(COSTE!$G$4/6)+(0.5))</f>
        <v/>
      </c>
      <c r="Z106" s="129">
        <f>I106*0.02</f>
        <v/>
      </c>
      <c r="AA106" s="126">
        <f>J106*10</f>
        <v/>
      </c>
      <c r="AB106" s="112" t="n"/>
      <c r="AC106" s="112" t="n"/>
      <c r="AD106" s="112" t="n"/>
      <c r="AE106" s="112" t="n"/>
      <c r="AF106" s="112" t="n"/>
      <c r="AG106" s="112" t="n"/>
      <c r="AH106" s="112" t="n"/>
      <c r="AI106" s="112" t="n"/>
      <c r="AL106" s="193" t="n"/>
    </row>
    <row r="107">
      <c r="A107" s="104" t="inlineStr">
        <is>
          <t>FAMILIA</t>
        </is>
      </c>
      <c r="B107" s="104" t="inlineStr">
        <is>
          <t>SUB F.</t>
        </is>
      </c>
      <c r="C107" s="104" t="inlineStr">
        <is>
          <t>MATERIAL</t>
        </is>
      </c>
      <c r="D107" s="100" t="inlineStr">
        <is>
          <t>JARDINERA</t>
        </is>
      </c>
      <c r="E107" s="100" t="inlineStr">
        <is>
          <t>COMENTARIOS</t>
        </is>
      </c>
      <c r="F107" s="99" t="inlineStr">
        <is>
          <t>Largo</t>
        </is>
      </c>
      <c r="G107" s="99" t="inlineStr">
        <is>
          <t>Ancho</t>
        </is>
      </c>
      <c r="H107" s="99" t="inlineStr">
        <is>
          <t>Alto</t>
        </is>
      </c>
      <c r="I107" s="101" t="inlineStr">
        <is>
          <t>ml</t>
        </is>
      </c>
      <c r="J107" s="106" t="inlineStr">
        <is>
          <t>UDS</t>
        </is>
      </c>
      <c r="K107" s="101" t="inlineStr">
        <is>
          <t>€/ml</t>
        </is>
      </c>
      <c r="L107" s="142" t="inlineStr">
        <is>
          <t>€/ml Real</t>
        </is>
      </c>
      <c r="M107" s="101" t="inlineStr">
        <is>
          <t>€/Empresa</t>
        </is>
      </c>
      <c r="N107" s="102" t="inlineStr">
        <is>
          <t>Markup %</t>
        </is>
      </c>
      <c r="O107" s="101" t="inlineStr">
        <is>
          <t>€ TOTAL</t>
        </is>
      </c>
      <c r="P107" s="101" t="inlineStr">
        <is>
          <t>BEN.EMP</t>
        </is>
      </c>
      <c r="Q107" s="122" t="inlineStr">
        <is>
          <t>COSTE TOT</t>
        </is>
      </c>
      <c r="R107" s="136" t="inlineStr">
        <is>
          <t>Diseño (2m2/1h)</t>
        </is>
      </c>
      <c r="S107" s="109" t="inlineStr">
        <is>
          <t xml:space="preserve">COSTE MAT </t>
        </is>
      </c>
      <c r="T107" s="116" t="inlineStr">
        <is>
          <t xml:space="preserve">Tableros </t>
        </is>
      </c>
      <c r="U107" s="111" t="inlineStr">
        <is>
          <t>(10/5 m2/h)  Corte</t>
        </is>
      </c>
      <c r="V107" s="111" t="inlineStr">
        <is>
          <t>Merma 30%</t>
        </is>
      </c>
      <c r="W107" s="147" t="inlineStr">
        <is>
          <t>(1/ 0,75m3/h) T. Fabricación</t>
        </is>
      </c>
      <c r="X107" s="111" t="inlineStr">
        <is>
          <t>(5m2/h) T. Paletizacion</t>
        </is>
      </c>
      <c r="Y107" s="110" t="inlineStr">
        <is>
          <t>Palets</t>
        </is>
      </c>
      <c r="Z107" s="111" t="inlineStr">
        <is>
          <t>Tornilleria</t>
        </is>
      </c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  <c r="AI107" s="112" t="n"/>
    </row>
    <row r="108">
      <c r="A108" s="1" t="inlineStr">
        <is>
          <t>Jardinera</t>
        </is>
      </c>
      <c r="B108" s="1" t="inlineStr">
        <is>
          <t>Jardinera</t>
        </is>
      </c>
      <c r="C108" s="1" t="inlineStr">
        <is>
          <t>Aglomerado</t>
        </is>
      </c>
      <c r="D108" s="1" t="n"/>
      <c r="E108" s="4" t="n"/>
      <c r="F108" s="119" t="n">
        <v>0</v>
      </c>
      <c r="G108" s="119" t="n">
        <v>0</v>
      </c>
      <c r="H108" s="119" t="n">
        <v>0</v>
      </c>
      <c r="I108" s="5">
        <f>F108</f>
        <v/>
      </c>
      <c r="J108" s="6" t="n">
        <v>0</v>
      </c>
      <c r="K108" s="19" t="n">
        <v>15.01623952600395</v>
      </c>
      <c r="L108" s="188">
        <f>IFERROR(ROUNDUP((Q108/I108)/0.5,0)*0.5,0)</f>
        <v/>
      </c>
      <c r="M108" s="5">
        <f>IF(I108=0,J108*K108,I108*J108*K108)</f>
        <v/>
      </c>
      <c r="N108" s="38">
        <f>$N$111</f>
        <v/>
      </c>
      <c r="O108" s="39">
        <f>SUM(M108*N108)+M108</f>
        <v/>
      </c>
      <c r="P108" s="5">
        <f>SUM(O108-M108)</f>
        <v/>
      </c>
      <c r="Q108" s="128">
        <f>R108+S108</f>
        <v/>
      </c>
      <c r="R108" s="127">
        <f>J108*(MAX(1, ROUNDUP(I108/2, 0) * 1) *COSTE!$G$3)</f>
        <v/>
      </c>
      <c r="S108" s="126">
        <f>SUM(T108:AU108)</f>
        <v/>
      </c>
      <c r="T108" s="129">
        <f>COSTE!$G$20*(((F108*G108)*2)+((F108*H108)*2)+(F108*G108))</f>
        <v/>
      </c>
      <c r="U108" s="129">
        <f>((((F108*G108)*2)+((F108*H108)*2)+(F108*G108))/10)*COSTE!$G$4</f>
        <v/>
      </c>
      <c r="V108" s="129">
        <f>T108*30%</f>
        <v/>
      </c>
      <c r="W108" s="129">
        <f>(I108/1)*COSTE!$G$4</f>
        <v/>
      </c>
      <c r="X108" s="129">
        <f>(I108/5)*COSTE!$G$4</f>
        <v/>
      </c>
      <c r="Y108" s="129">
        <f>ROUNDUP(I108/50,0)*((COSTE!$G$20/3)+(COSTE!$G$45*1)+(COSTE!$G$4/6)+(0.5))</f>
        <v/>
      </c>
      <c r="Z108" s="129">
        <f>I108*0.02</f>
        <v/>
      </c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  <c r="AI108" s="112" t="n"/>
      <c r="AL108" s="193" t="n"/>
    </row>
    <row r="109">
      <c r="A109" s="1" t="inlineStr">
        <is>
          <t>Jardinera</t>
        </is>
      </c>
      <c r="B109" s="1" t="inlineStr">
        <is>
          <t>Jardinera</t>
        </is>
      </c>
      <c r="C109" s="1" t="inlineStr">
        <is>
          <t>Melamina</t>
        </is>
      </c>
      <c r="D109" s="1" t="n"/>
      <c r="E109" s="4" t="n"/>
      <c r="F109" s="119" t="n">
        <v>0</v>
      </c>
      <c r="G109" s="119" t="n">
        <v>0</v>
      </c>
      <c r="H109" s="119" t="n">
        <v>0</v>
      </c>
      <c r="I109" s="5">
        <f>F109</f>
        <v/>
      </c>
      <c r="J109" s="6" t="n">
        <v>0</v>
      </c>
      <c r="K109" s="19" t="n">
        <v>17.0992115942029</v>
      </c>
      <c r="L109" s="188">
        <f>IFERROR(ROUNDUP((Q109/I109)/0.5,0)*0.5,0)</f>
        <v/>
      </c>
      <c r="M109" s="5">
        <f>IF(I109=0,J109*K109,I109*J109*K109)</f>
        <v/>
      </c>
      <c r="N109" s="38">
        <f>$N$111</f>
        <v/>
      </c>
      <c r="O109" s="39">
        <f>SUM(M109*N109)+M109</f>
        <v/>
      </c>
      <c r="P109" s="5">
        <f>SUM(O109-M109)</f>
        <v/>
      </c>
      <c r="Q109" s="128">
        <f>R109+S109</f>
        <v/>
      </c>
      <c r="R109" s="127">
        <f>J109*(MAX(1, ROUNDUP(I109/2, 0) * 1) *COSTE!$G$3)</f>
        <v/>
      </c>
      <c r="S109" s="126">
        <f>SUM(T109:AU109)</f>
        <v/>
      </c>
      <c r="T109" s="129">
        <f>COSTE!$G$13*(((F109*G109)*2)+((F109*H109)*2)+(F109*G109))</f>
        <v/>
      </c>
      <c r="U109" s="129">
        <f>((((F109*G109)*2)+((F109*H109)*2)+(F109*G109))/5)*COSTE!$G$4</f>
        <v/>
      </c>
      <c r="V109" s="129">
        <f>T109*30%</f>
        <v/>
      </c>
      <c r="W109" s="129">
        <f>(I109/0.75)*COSTE!$G$4</f>
        <v/>
      </c>
      <c r="X109" s="129">
        <f>(I109/5)*COSTE!$G$4</f>
        <v/>
      </c>
      <c r="Y109" s="129">
        <f>ROUNDUP(I109/50,0)*((COSTE!$G$20/3)+(COSTE!$G$45*1)+(COSTE!$G$4/6)+(0.5))</f>
        <v/>
      </c>
      <c r="Z109" s="129">
        <f>I109*0.02</f>
        <v/>
      </c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  <c r="AI109" s="112" t="n"/>
      <c r="AL109" s="193" t="n"/>
    </row>
    <row r="110">
      <c r="A110" s="1" t="inlineStr">
        <is>
          <t>Jardinera</t>
        </is>
      </c>
      <c r="B110" s="1" t="inlineStr">
        <is>
          <t>Jardinera</t>
        </is>
      </c>
      <c r="C110" s="1" t="inlineStr">
        <is>
          <t>Melamina Especial</t>
        </is>
      </c>
      <c r="D110" s="1" t="n"/>
      <c r="E110" s="4" t="n"/>
      <c r="F110" s="119" t="n">
        <v>0</v>
      </c>
      <c r="G110" s="119" t="n">
        <v>0</v>
      </c>
      <c r="H110" s="119" t="n">
        <v>0</v>
      </c>
      <c r="I110" s="5">
        <f>F110</f>
        <v/>
      </c>
      <c r="J110" s="6" t="n">
        <v>0</v>
      </c>
      <c r="K110" s="19" t="n">
        <v>19.61796714975845</v>
      </c>
      <c r="L110" s="188">
        <f>IFERROR(ROUNDUP((Q110/I110)/0.5,0)*0.5,0)</f>
        <v/>
      </c>
      <c r="M110" s="5">
        <f>IF(I110=0,J110*K110,I110*J110*K110)</f>
        <v/>
      </c>
      <c r="N110" s="38">
        <f>$N$111</f>
        <v/>
      </c>
      <c r="O110" s="39">
        <f>SUM(M110*N110)+M110</f>
        <v/>
      </c>
      <c r="P110" s="5">
        <f>SUM(O110-M110)</f>
        <v/>
      </c>
      <c r="Q110" s="128">
        <f>R110+S110</f>
        <v/>
      </c>
      <c r="R110" s="127">
        <f>J110*(MAX(1, ROUNDUP(I110/2, 0) * 1) *COSTE!$G$3)</f>
        <v/>
      </c>
      <c r="S110" s="126">
        <f>SUM(T110:AU110)</f>
        <v/>
      </c>
      <c r="T110" s="129">
        <f>COSTE!$G$34*(((F110*G110)*2)+((F110*H110)*2)+(F110*G110))</f>
        <v/>
      </c>
      <c r="U110" s="129">
        <f>((((F110*G110)*2)+((F110*H110)*2)+(F110*G110))/5)*COSTE!$G$4</f>
        <v/>
      </c>
      <c r="V110" s="129">
        <f>T110*30%</f>
        <v/>
      </c>
      <c r="W110" s="129">
        <f>(I110/0.75)*COSTE!$G$4</f>
        <v/>
      </c>
      <c r="X110" s="129">
        <f>(I110/5)*COSTE!$G$4</f>
        <v/>
      </c>
      <c r="Y110" s="129">
        <f>ROUNDUP(I110/50,0)*((COSTE!$G$20/3)+(COSTE!$G$45*1)+(COSTE!$G$4/6)+(0.5))</f>
        <v/>
      </c>
      <c r="Z110" s="129">
        <f>I110*0.02</f>
        <v/>
      </c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  <c r="AI110" s="112" t="n"/>
      <c r="AL110" s="193" t="n"/>
    </row>
    <row r="111" customFormat="1" s="191">
      <c r="A111" s="22" t="n"/>
      <c r="B111" s="22" t="n"/>
      <c r="C111" s="22" t="n"/>
      <c r="D111" s="22" t="n"/>
      <c r="E111" s="22" t="n"/>
      <c r="F111" s="8" t="n"/>
      <c r="G111" s="8" t="n"/>
      <c r="H111" s="8" t="n"/>
      <c r="I111" s="8" t="n"/>
      <c r="J111" s="8" t="n"/>
      <c r="K111" s="8" t="inlineStr">
        <is>
          <t>TOTAL MOSTRADORES,MESAS,JARDINERAS Y PANELES</t>
        </is>
      </c>
      <c r="L111" s="144" t="n"/>
      <c r="M111" s="9">
        <f>SUM(M89:M110)</f>
        <v/>
      </c>
      <c r="N111" s="18">
        <f>$N$2</f>
        <v/>
      </c>
      <c r="O111" s="9">
        <f>SUM(O89:O110)</f>
        <v/>
      </c>
      <c r="P111" s="9">
        <f>SUM(P89:P110)</f>
        <v/>
      </c>
      <c r="Q111" s="9">
        <f>SUM(Q89:Q110)</f>
        <v/>
      </c>
      <c r="R111" s="9" t="n"/>
      <c r="S111" s="9">
        <f>SUM(S89:S110)</f>
        <v/>
      </c>
      <c r="T111" s="131" t="n"/>
      <c r="U111" s="131" t="n"/>
      <c r="V111" s="131" t="n"/>
      <c r="W111" s="131" t="n"/>
      <c r="X111" s="131" t="n"/>
      <c r="Y111" s="131" t="n"/>
      <c r="Z111" s="131" t="n"/>
      <c r="AA111" s="131" t="n"/>
      <c r="AB111" s="131" t="n"/>
      <c r="AC111" s="131" t="n"/>
      <c r="AD111" s="131" t="n"/>
      <c r="AE111" s="131" t="n"/>
      <c r="AF111" s="131" t="n"/>
      <c r="AG111" s="131" t="n"/>
      <c r="AH111" s="131" t="n"/>
      <c r="AI111" s="131" t="n"/>
      <c r="AL111" s="191" t="n"/>
    </row>
    <row r="112">
      <c r="A112" s="104" t="inlineStr">
        <is>
          <t>FAMILIA</t>
        </is>
      </c>
      <c r="B112" s="104" t="inlineStr">
        <is>
          <t>SUB F.</t>
        </is>
      </c>
      <c r="C112" s="104" t="inlineStr">
        <is>
          <t>MATERIAL</t>
        </is>
      </c>
      <c r="D112" s="100" t="inlineStr">
        <is>
          <t>PANEL</t>
        </is>
      </c>
      <c r="E112" s="100" t="inlineStr">
        <is>
          <t>COMENTARIOS</t>
        </is>
      </c>
      <c r="F112" s="99" t="inlineStr">
        <is>
          <t>Largo</t>
        </is>
      </c>
      <c r="G112" s="99" t="inlineStr">
        <is>
          <t>Ancho</t>
        </is>
      </c>
      <c r="H112" s="99" t="n"/>
      <c r="I112" s="101" t="inlineStr">
        <is>
          <t>m2</t>
        </is>
      </c>
      <c r="J112" s="106" t="inlineStr">
        <is>
          <t>UDS</t>
        </is>
      </c>
      <c r="K112" s="101" t="inlineStr">
        <is>
          <t>€/m2</t>
        </is>
      </c>
      <c r="L112" s="142" t="inlineStr">
        <is>
          <t>€/m2 Real</t>
        </is>
      </c>
      <c r="M112" s="101" t="inlineStr">
        <is>
          <t>€/Empresa</t>
        </is>
      </c>
      <c r="N112" s="102" t="inlineStr">
        <is>
          <t>Markup %</t>
        </is>
      </c>
      <c r="O112" s="101" t="inlineStr">
        <is>
          <t>€ TOTAL</t>
        </is>
      </c>
      <c r="P112" s="101" t="inlineStr">
        <is>
          <t>BEN.EMP</t>
        </is>
      </c>
      <c r="Q112" s="122" t="inlineStr">
        <is>
          <t>COSTE TOT</t>
        </is>
      </c>
      <c r="R112" s="136" t="inlineStr">
        <is>
          <t>Diseño (2m2/1h)</t>
        </is>
      </c>
      <c r="S112" s="109" t="inlineStr">
        <is>
          <t xml:space="preserve">COSTE MAT </t>
        </is>
      </c>
      <c r="T112" s="116" t="inlineStr">
        <is>
          <t xml:space="preserve">Tableros </t>
        </is>
      </c>
      <c r="U112" s="111" t="inlineStr">
        <is>
          <t>(10/5 m2/h)  Corte</t>
        </is>
      </c>
      <c r="V112" s="111" t="inlineStr">
        <is>
          <t>Merma 20%</t>
        </is>
      </c>
      <c r="W112" s="168" t="n"/>
      <c r="X112" s="161" t="n"/>
      <c r="Y112" s="161" t="n"/>
      <c r="Z112" s="161" t="n"/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  <c r="AI112" s="112" t="n"/>
    </row>
    <row r="113">
      <c r="A113" s="1" t="inlineStr">
        <is>
          <t>Panel</t>
        </is>
      </c>
      <c r="B113" s="1" t="inlineStr">
        <is>
          <t>Panel</t>
        </is>
      </c>
      <c r="C113" s="1" t="inlineStr">
        <is>
          <t>Melamina Blanca /Negra</t>
        </is>
      </c>
      <c r="D113" s="2" t="inlineStr">
        <is>
          <t xml:space="preserve">Panel decorativo/ Estante /Lama  16mm </t>
        </is>
      </c>
      <c r="E113" s="17" t="n"/>
      <c r="F113" s="119" t="n">
        <v>0</v>
      </c>
      <c r="G113" s="119" t="n">
        <v>0</v>
      </c>
      <c r="H113" s="105" t="n"/>
      <c r="I113" s="5">
        <f>F113*G113</f>
        <v/>
      </c>
      <c r="J113" s="6" t="n">
        <v>0</v>
      </c>
      <c r="K113" s="19" t="n">
        <v>12</v>
      </c>
      <c r="L113" s="188">
        <f>IFERROR(ROUNDUP((Q113/I113)/0.5,0)*0.5,0)</f>
        <v/>
      </c>
      <c r="M113" s="5">
        <f>IF(I113=0,J113*K113,I113*J113*K113)</f>
        <v/>
      </c>
      <c r="N113" s="38">
        <f>$N$119</f>
        <v/>
      </c>
      <c r="O113" s="39">
        <f>SUM(M113*N113)+M113</f>
        <v/>
      </c>
      <c r="P113" s="5">
        <f>SUM(O113-M113)</f>
        <v/>
      </c>
      <c r="Q113" s="128">
        <f>R113+S113</f>
        <v/>
      </c>
      <c r="R113" s="127">
        <f>J113*(MAX(1, ROUNDUP(I113/2, 0) * 1) *COSTE!$G$3)</f>
        <v/>
      </c>
      <c r="S113" s="126">
        <f>SUM(T113:AU113)</f>
        <v/>
      </c>
      <c r="T113" s="129">
        <f>COSTE!$G$13*(F113*G113)</f>
        <v/>
      </c>
      <c r="U113" s="129">
        <f>(I113/10)*COSTE!$G$4</f>
        <v/>
      </c>
      <c r="V113" s="129">
        <f>T113*20%</f>
        <v/>
      </c>
      <c r="W113" s="112" t="n"/>
      <c r="X113" s="112" t="n"/>
      <c r="Y113" s="112" t="n"/>
      <c r="Z113" s="112" t="n"/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  <c r="AI113" s="112" t="n"/>
      <c r="AL113" s="193" t="n"/>
    </row>
    <row r="114">
      <c r="A114" s="1" t="inlineStr">
        <is>
          <t>Panel</t>
        </is>
      </c>
      <c r="B114" s="1" t="inlineStr">
        <is>
          <t>Panel</t>
        </is>
      </c>
      <c r="C114" s="1" t="inlineStr">
        <is>
          <t>Melamina Color</t>
        </is>
      </c>
      <c r="D114" s="2" t="inlineStr">
        <is>
          <t xml:space="preserve">Panel decorativo/ Estante /Lama  16mm </t>
        </is>
      </c>
      <c r="E114" s="4" t="inlineStr">
        <is>
          <t>*New</t>
        </is>
      </c>
      <c r="F114" s="119" t="n">
        <v>0</v>
      </c>
      <c r="G114" s="119" t="n">
        <v>0</v>
      </c>
      <c r="H114" s="105" t="n"/>
      <c r="I114" s="5">
        <f>F114*G114</f>
        <v/>
      </c>
      <c r="J114" s="6" t="n">
        <v>0</v>
      </c>
      <c r="K114" s="10" t="n">
        <v>17</v>
      </c>
      <c r="L114" s="188">
        <f>IFERROR(ROUNDUP((Q114/I114)/0.5,0)*0.5,0)</f>
        <v/>
      </c>
      <c r="M114" s="5">
        <f>IF(I114=0,J114*K114,I114*J114*K114)</f>
        <v/>
      </c>
      <c r="N114" s="38">
        <f>$N$119</f>
        <v/>
      </c>
      <c r="O114" s="39">
        <f>SUM(M114*N114)+M114</f>
        <v/>
      </c>
      <c r="P114" s="5">
        <f>SUM(O114-M114)</f>
        <v/>
      </c>
      <c r="Q114" s="128">
        <f>R114+S114</f>
        <v/>
      </c>
      <c r="R114" s="127">
        <f>J114*(MAX(1, ROUNDUP(I114/2, 0) * 1) *COSTE!$G$3)</f>
        <v/>
      </c>
      <c r="S114" s="126">
        <f>SUM(T114:AU114)</f>
        <v/>
      </c>
      <c r="T114" s="129">
        <f>COSTE!$G$15*(F114*G114)</f>
        <v/>
      </c>
      <c r="U114" s="129">
        <f>(I114/10)*COSTE!$G$4</f>
        <v/>
      </c>
      <c r="V114" s="129">
        <f>T114*20%</f>
        <v/>
      </c>
      <c r="W114" s="112" t="n"/>
      <c r="X114" s="112" t="n"/>
      <c r="Y114" s="112" t="n"/>
      <c r="Z114" s="112" t="n"/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  <c r="AI114" s="112" t="n"/>
      <c r="AL114" s="193" t="n"/>
    </row>
    <row r="115">
      <c r="A115" s="1" t="inlineStr">
        <is>
          <t>Panel</t>
        </is>
      </c>
      <c r="B115" s="1" t="inlineStr">
        <is>
          <t>Panel</t>
        </is>
      </c>
      <c r="C115" s="1" t="inlineStr">
        <is>
          <t>Melamina Color Especial</t>
        </is>
      </c>
      <c r="D115" s="2" t="inlineStr">
        <is>
          <t>Panel decorativo/ Estante /Lama  16mm  19mm</t>
        </is>
      </c>
      <c r="E115" s="4" t="inlineStr">
        <is>
          <t>*New</t>
        </is>
      </c>
      <c r="F115" s="119" t="n">
        <v>0</v>
      </c>
      <c r="G115" s="119" t="n">
        <v>0</v>
      </c>
      <c r="H115" s="105" t="n"/>
      <c r="I115" s="5">
        <f>F115*G115</f>
        <v/>
      </c>
      <c r="J115" s="6" t="n">
        <v>0</v>
      </c>
      <c r="K115" s="10" t="n">
        <v>22</v>
      </c>
      <c r="L115" s="188">
        <f>IFERROR(ROUNDUP((Q115/I115)/0.5,0)*0.5,0)</f>
        <v/>
      </c>
      <c r="M115" s="5">
        <f>IF(I115=0,J115*K115,I115*J115*K115)</f>
        <v/>
      </c>
      <c r="N115" s="38">
        <f>$N$119</f>
        <v/>
      </c>
      <c r="O115" s="39">
        <f>SUM(M115*N115)+M115</f>
        <v/>
      </c>
      <c r="P115" s="5">
        <f>SUM(O115-M115)</f>
        <v/>
      </c>
      <c r="Q115" s="128">
        <f>R115+S115</f>
        <v/>
      </c>
      <c r="R115" s="127">
        <f>J115*(MAX(1, ROUNDUP(I115/2, 0) * 1) *COSTE!$G$3)</f>
        <v/>
      </c>
      <c r="S115" s="126">
        <f>SUM(T115:AU115)</f>
        <v/>
      </c>
      <c r="T115" s="129">
        <f>COSTE!$G$17*(F115*G115)</f>
        <v/>
      </c>
      <c r="U115" s="129">
        <f>(I115/10)*COSTE!$G$4</f>
        <v/>
      </c>
      <c r="V115" s="129">
        <f>T115*20%</f>
        <v/>
      </c>
      <c r="W115" s="112" t="n"/>
      <c r="X115" s="112" t="n"/>
      <c r="Y115" s="112" t="n"/>
      <c r="Z115" s="112" t="n"/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  <c r="AI115" s="112" t="n"/>
      <c r="AL115" s="193" t="n"/>
    </row>
    <row r="116">
      <c r="A116" s="1" t="inlineStr">
        <is>
          <t>Panel</t>
        </is>
      </c>
      <c r="B116" s="1" t="inlineStr">
        <is>
          <t>Panel</t>
        </is>
      </c>
      <c r="C116" s="1" t="inlineStr">
        <is>
          <t xml:space="preserve">Aglomerado </t>
        </is>
      </c>
      <c r="D116" s="2" t="inlineStr">
        <is>
          <t>Panel decorativo/ Estante /Lama  16mm o 19mm</t>
        </is>
      </c>
      <c r="E116" s="17" t="n"/>
      <c r="F116" s="119" t="n">
        <v>0</v>
      </c>
      <c r="G116" s="119" t="n">
        <v>0</v>
      </c>
      <c r="H116" s="105" t="n"/>
      <c r="I116" s="5">
        <f>F116*G116</f>
        <v/>
      </c>
      <c r="J116" s="6" t="n">
        <v>0</v>
      </c>
      <c r="K116" s="19" t="n">
        <v>10</v>
      </c>
      <c r="L116" s="188">
        <f>IFERROR(ROUNDUP((Q116/I116)/0.5,0)*0.5,0)</f>
        <v/>
      </c>
      <c r="M116" s="5">
        <f>IF(I116=0,J116*K116,I116*J116*K116)</f>
        <v/>
      </c>
      <c r="N116" s="38">
        <f>$N$119</f>
        <v/>
      </c>
      <c r="O116" s="39">
        <f>SUM(M116*N116)+M116</f>
        <v/>
      </c>
      <c r="P116" s="5">
        <f>SUM(O116-M116)</f>
        <v/>
      </c>
      <c r="Q116" s="128">
        <f>R116+S116</f>
        <v/>
      </c>
      <c r="R116" s="127">
        <f>J116*(MAX(1, ROUNDUP(I116/2, 0) * 1) *COSTE!$G$3)</f>
        <v/>
      </c>
      <c r="S116" s="126">
        <f>SUM(T116:AU116)</f>
        <v/>
      </c>
      <c r="T116" s="129">
        <f>COSTE!$G$20*(F116*G116)</f>
        <v/>
      </c>
      <c r="U116" s="129">
        <f>(I116/10)*COSTE!$G$4</f>
        <v/>
      </c>
      <c r="V116" s="129">
        <f>T116*20%</f>
        <v/>
      </c>
      <c r="W116" s="112" t="n"/>
      <c r="X116" s="112" t="n"/>
      <c r="Y116" s="112" t="n"/>
      <c r="Z116" s="112" t="n"/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  <c r="AI116" s="112" t="n"/>
      <c r="AL116" s="193" t="n"/>
    </row>
    <row r="117">
      <c r="A117" s="1" t="inlineStr">
        <is>
          <t>Panel</t>
        </is>
      </c>
      <c r="B117" s="1" t="inlineStr">
        <is>
          <t>Panel</t>
        </is>
      </c>
      <c r="C117" s="1" t="inlineStr">
        <is>
          <t>Chopo 15mm</t>
        </is>
      </c>
      <c r="D117" s="2" t="inlineStr">
        <is>
          <t>Panel decorativo/ Estante /Lama  15mm</t>
        </is>
      </c>
      <c r="E117" s="17" t="n"/>
      <c r="F117" s="119" t="n">
        <v>0</v>
      </c>
      <c r="G117" s="119" t="n">
        <v>0</v>
      </c>
      <c r="H117" s="105" t="n"/>
      <c r="I117" s="5">
        <f>F117*G117</f>
        <v/>
      </c>
      <c r="J117" s="6" t="n">
        <v>0</v>
      </c>
      <c r="K117" s="19" t="n">
        <v>14.5</v>
      </c>
      <c r="L117" s="188">
        <f>IFERROR(ROUNDUP((Q117/I117)/0.5,0)*0.5,0)</f>
        <v/>
      </c>
      <c r="M117" s="5">
        <f>IF(I117=0,J117*K117,I117*J117*K117)</f>
        <v/>
      </c>
      <c r="N117" s="38">
        <f>$N$119</f>
        <v/>
      </c>
      <c r="O117" s="39">
        <f>SUM(M117*N117)+M117</f>
        <v/>
      </c>
      <c r="P117" s="5">
        <f>SUM(O117-M117)</f>
        <v/>
      </c>
      <c r="Q117" s="128">
        <f>R117+S117</f>
        <v/>
      </c>
      <c r="R117" s="127">
        <f>J117*(MAX(1, ROUNDUP(I117/2, 0) * 1) *COSTE!$G$3)</f>
        <v/>
      </c>
      <c r="S117" s="126">
        <f>SUM(T117:AU117)</f>
        <v/>
      </c>
      <c r="T117" s="129">
        <f>COSTE!$G$34*(F117*G117)</f>
        <v/>
      </c>
      <c r="U117" s="129">
        <f>(I117/10)*COSTE!$G$4</f>
        <v/>
      </c>
      <c r="V117" s="129">
        <f>T117*20%</f>
        <v/>
      </c>
      <c r="W117" s="112" t="n"/>
      <c r="X117" s="112" t="n"/>
      <c r="Y117" s="112" t="n"/>
      <c r="Z117" s="112" t="n"/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  <c r="AI117" s="112" t="n"/>
      <c r="AL117" s="193" t="n"/>
    </row>
    <row r="118">
      <c r="A118" s="1" t="inlineStr">
        <is>
          <t>Panel</t>
        </is>
      </c>
      <c r="B118" s="1" t="inlineStr">
        <is>
          <t>Panel</t>
        </is>
      </c>
      <c r="C118" s="1" t="inlineStr">
        <is>
          <t>MDF</t>
        </is>
      </c>
      <c r="D118" s="2" t="inlineStr">
        <is>
          <t>Panel decorativo/ Estante /Lama  30mm</t>
        </is>
      </c>
      <c r="E118" s="17" t="n"/>
      <c r="F118" s="119" t="n">
        <v>0</v>
      </c>
      <c r="G118" s="119" t="n">
        <v>0</v>
      </c>
      <c r="H118" s="105" t="n"/>
      <c r="I118" s="5">
        <f>F118*G118</f>
        <v/>
      </c>
      <c r="J118" s="6" t="n">
        <v>0</v>
      </c>
      <c r="K118" s="19" t="n">
        <v>30</v>
      </c>
      <c r="L118" s="188">
        <f>IFERROR(ROUNDUP((Q118/I118)/0.5,0)*0.5,0)</f>
        <v/>
      </c>
      <c r="M118" s="5">
        <f>IF(I118=0,J118*K118,I118*J118*K118)</f>
        <v/>
      </c>
      <c r="N118" s="38">
        <f>$N$119</f>
        <v/>
      </c>
      <c r="O118" s="39">
        <f>SUM(M118*N118)+M118</f>
        <v/>
      </c>
      <c r="P118" s="5">
        <f>SUM(O118-M118)</f>
        <v/>
      </c>
      <c r="Q118" s="128">
        <f>R118+S118</f>
        <v/>
      </c>
      <c r="R118" s="127">
        <f>J118*(MAX(1, ROUNDUP(I118/2, 0) * 1) *COSTE!$G$3)</f>
        <v/>
      </c>
      <c r="S118" s="126">
        <f>SUM(T118:AU118)</f>
        <v/>
      </c>
      <c r="T118" s="129">
        <f>COSTE!$G$27*(F118*G118)</f>
        <v/>
      </c>
      <c r="U118" s="129">
        <f>(I118/10)*COSTE!$G$4</f>
        <v/>
      </c>
      <c r="V118" s="129">
        <f>T118*20%</f>
        <v/>
      </c>
      <c r="W118" s="112" t="n"/>
      <c r="X118" s="112" t="n"/>
      <c r="Y118" s="112" t="n"/>
      <c r="Z118" s="112" t="n"/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  <c r="AI118" s="112" t="n"/>
      <c r="AL118" s="193" t="n"/>
    </row>
    <row r="119" customFormat="1" s="191">
      <c r="A119" s="22" t="n"/>
      <c r="B119" s="22" t="n"/>
      <c r="C119" s="22" t="n"/>
      <c r="D119" s="22" t="n"/>
      <c r="E119" s="22" t="n"/>
      <c r="F119" s="8" t="n"/>
      <c r="G119" s="8" t="n"/>
      <c r="H119" s="8" t="n"/>
      <c r="I119" s="8" t="n"/>
      <c r="J119" s="8" t="n"/>
      <c r="K119" s="8" t="inlineStr">
        <is>
          <t>TOTAL PANELES</t>
        </is>
      </c>
      <c r="L119" s="144" t="n"/>
      <c r="M119" s="9">
        <f>SUM(M113:M118)</f>
        <v/>
      </c>
      <c r="N119" s="18">
        <f>$N$2</f>
        <v/>
      </c>
      <c r="O119" s="9">
        <f>SUM(O113:O118)</f>
        <v/>
      </c>
      <c r="P119" s="9">
        <f>SUM(P113:P118)</f>
        <v/>
      </c>
      <c r="Q119" s="9">
        <f>SUM(Q112:Q118)</f>
        <v/>
      </c>
      <c r="R119" s="9" t="n"/>
      <c r="S119" s="9">
        <f>SUM(S112:S118)</f>
        <v/>
      </c>
      <c r="T119" s="131" t="n"/>
      <c r="U119" s="131" t="n"/>
      <c r="V119" s="131" t="n"/>
      <c r="W119" s="131" t="n"/>
      <c r="X119" s="131" t="n"/>
      <c r="Y119" s="131" t="n"/>
      <c r="Z119" s="131" t="n"/>
      <c r="AA119" s="131" t="n"/>
      <c r="AB119" s="131" t="n"/>
      <c r="AC119" s="131" t="n"/>
      <c r="AD119" s="131" t="n"/>
      <c r="AE119" s="131" t="n"/>
      <c r="AF119" s="131" t="n"/>
      <c r="AG119" s="131" t="n"/>
      <c r="AH119" s="131" t="n"/>
      <c r="AI119" s="131" t="n"/>
      <c r="AL119" s="191" t="n"/>
    </row>
    <row r="120">
      <c r="A120" s="104" t="inlineStr">
        <is>
          <t>FAMILIA</t>
        </is>
      </c>
      <c r="B120" s="104" t="inlineStr">
        <is>
          <t>SUB F.</t>
        </is>
      </c>
      <c r="C120" s="104" t="inlineStr">
        <is>
          <t>MATERIAL</t>
        </is>
      </c>
      <c r="D120" s="100" t="inlineStr">
        <is>
          <t>TAPETAS</t>
        </is>
      </c>
      <c r="E120" s="100" t="inlineStr">
        <is>
          <t>COMENTARIOS</t>
        </is>
      </c>
      <c r="F120" s="99" t="inlineStr">
        <is>
          <t>Largo</t>
        </is>
      </c>
      <c r="G120" s="99" t="inlineStr">
        <is>
          <t>Ancho</t>
        </is>
      </c>
      <c r="H120" s="99" t="n"/>
      <c r="I120" s="101" t="inlineStr">
        <is>
          <t>m2</t>
        </is>
      </c>
      <c r="J120" s="106" t="inlineStr">
        <is>
          <t>UDS</t>
        </is>
      </c>
      <c r="K120" s="101" t="inlineStr">
        <is>
          <t>€/m2</t>
        </is>
      </c>
      <c r="L120" s="142" t="inlineStr">
        <is>
          <t>€/m2 Real</t>
        </is>
      </c>
      <c r="M120" s="101" t="inlineStr">
        <is>
          <t>€/Empresa</t>
        </is>
      </c>
      <c r="N120" s="102" t="inlineStr">
        <is>
          <t>Markup %</t>
        </is>
      </c>
      <c r="O120" s="101" t="inlineStr">
        <is>
          <t>€ TOTAL</t>
        </is>
      </c>
      <c r="P120" s="101" t="inlineStr">
        <is>
          <t>BEN.EMP</t>
        </is>
      </c>
      <c r="Q120" s="122" t="inlineStr">
        <is>
          <t>COSTE TOT</t>
        </is>
      </c>
      <c r="R120" s="136" t="inlineStr">
        <is>
          <t>Diseño 5m2/0,5h)</t>
        </is>
      </c>
      <c r="S120" s="109" t="inlineStr">
        <is>
          <t xml:space="preserve">COSTE MAT </t>
        </is>
      </c>
      <c r="T120" s="113" t="inlineStr">
        <is>
          <t xml:space="preserve">Tableros </t>
        </is>
      </c>
      <c r="U120" s="113" t="inlineStr">
        <is>
          <t>(15m2/h)  Corte</t>
        </is>
      </c>
      <c r="V120" s="111" t="inlineStr">
        <is>
          <t>(30m2/h) T. Paletizacion</t>
        </is>
      </c>
      <c r="W120" s="161" t="n"/>
      <c r="X120" s="161" t="n"/>
      <c r="Y120" s="112" t="n"/>
      <c r="Z120" s="112" t="n"/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  <c r="AI120" s="112" t="n"/>
    </row>
    <row r="121">
      <c r="A121" s="1" t="inlineStr">
        <is>
          <t>Tapetas</t>
        </is>
      </c>
      <c r="B121" s="1" t="inlineStr">
        <is>
          <t>Tapetas</t>
        </is>
      </c>
      <c r="C121" s="1" t="inlineStr">
        <is>
          <t>MDF</t>
        </is>
      </c>
      <c r="D121" s="2" t="inlineStr">
        <is>
          <t>5mm (Minimo 1m2 por tira)</t>
        </is>
      </c>
      <c r="E121" s="17" t="n"/>
      <c r="F121" s="119" t="n">
        <v>0</v>
      </c>
      <c r="G121" s="119" t="n">
        <v>0</v>
      </c>
      <c r="H121" s="105" t="n"/>
      <c r="I121" s="5">
        <f>F121*G121</f>
        <v/>
      </c>
      <c r="J121" s="6" t="n">
        <v>0</v>
      </c>
      <c r="K121" s="19" t="n">
        <v>5</v>
      </c>
      <c r="L121" s="188">
        <f>IFERROR(ROUNDUP((Q121/I121)/0.5,0)*0.5,0)</f>
        <v/>
      </c>
      <c r="M121" s="5">
        <f>IF(I121=0,J121*K121,I121*J121*K121)</f>
        <v/>
      </c>
      <c r="N121" s="38">
        <f>$N$64</f>
        <v/>
      </c>
      <c r="O121" s="39">
        <f>SUM(M121*N121)+M121</f>
        <v/>
      </c>
      <c r="P121" s="5">
        <f>SUM(O121-M121)</f>
        <v/>
      </c>
      <c r="Q121" s="128">
        <f>R121+S121</f>
        <v/>
      </c>
      <c r="R121" s="127">
        <f>J121*(MAX(0.5, ROUNDUP(I121/5, 0) * 0.5) *COSTE!$G$3)</f>
        <v/>
      </c>
      <c r="S121" s="126">
        <f>SUM(T121:AU121)</f>
        <v/>
      </c>
      <c r="T121" s="129">
        <f>I121*COSTE!$G$26</f>
        <v/>
      </c>
      <c r="U121" s="129">
        <f>(I121/15)*COSTE!$G$4</f>
        <v/>
      </c>
      <c r="V121" s="126">
        <f>(I121/30)*COSTE!$G$5</f>
        <v/>
      </c>
      <c r="W121" s="112" t="n"/>
      <c r="X121" s="112" t="n"/>
      <c r="Y121" s="112" t="n"/>
      <c r="Z121" s="112" t="n"/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  <c r="AI121" s="112" t="n"/>
      <c r="AL121" s="193" t="n"/>
    </row>
    <row r="122" customFormat="1" s="191">
      <c r="A122" s="22" t="n"/>
      <c r="B122" s="22" t="n"/>
      <c r="C122" s="22" t="n"/>
      <c r="D122" s="22" t="n"/>
      <c r="E122" s="22" t="n"/>
      <c r="F122" s="8" t="n"/>
      <c r="G122" s="8" t="n"/>
      <c r="H122" s="8" t="n"/>
      <c r="I122" s="8" t="n"/>
      <c r="J122" s="8" t="n"/>
      <c r="K122" s="8" t="inlineStr">
        <is>
          <t>TOTAL TAPETAS</t>
        </is>
      </c>
      <c r="L122" s="144" t="n"/>
      <c r="M122" s="9">
        <f>SUM(M121)</f>
        <v/>
      </c>
      <c r="N122" s="18">
        <f>$N$2</f>
        <v/>
      </c>
      <c r="O122" s="9">
        <f>SUM(O121)</f>
        <v/>
      </c>
      <c r="P122" s="9">
        <f>SUM(P121)</f>
        <v/>
      </c>
      <c r="Q122" s="9">
        <f>SUM(Q121)</f>
        <v/>
      </c>
      <c r="R122" s="9" t="n"/>
      <c r="S122" s="9">
        <f>SUM(S121)</f>
        <v/>
      </c>
      <c r="T122" s="131" t="n"/>
      <c r="U122" s="131" t="n"/>
      <c r="V122" s="131" t="n"/>
      <c r="W122" s="131" t="n"/>
      <c r="X122" s="131" t="n"/>
      <c r="Y122" s="131" t="n"/>
      <c r="Z122" s="131" t="n"/>
      <c r="AA122" s="131" t="n"/>
      <c r="AB122" s="131" t="n"/>
      <c r="AC122" s="131" t="n"/>
      <c r="AD122" s="131" t="n"/>
      <c r="AE122" s="131" t="n"/>
      <c r="AF122" s="131" t="n"/>
      <c r="AG122" s="131" t="n"/>
      <c r="AH122" s="131" t="n"/>
      <c r="AI122" s="131" t="n"/>
      <c r="AL122" s="191" t="n"/>
    </row>
    <row r="123">
      <c r="A123" s="104" t="inlineStr">
        <is>
          <t>FAMILIA</t>
        </is>
      </c>
      <c r="B123" s="104" t="inlineStr">
        <is>
          <t>SUB F.</t>
        </is>
      </c>
      <c r="C123" s="104" t="inlineStr">
        <is>
          <t>MATERIAL</t>
        </is>
      </c>
      <c r="D123" s="100" t="inlineStr">
        <is>
          <t>CURVAS</t>
        </is>
      </c>
      <c r="E123" s="100" t="inlineStr">
        <is>
          <t>COMENTARIOS</t>
        </is>
      </c>
      <c r="F123" s="99" t="inlineStr">
        <is>
          <t>Ancho</t>
        </is>
      </c>
      <c r="G123" s="99" t="inlineStr">
        <is>
          <t>Fondo</t>
        </is>
      </c>
      <c r="H123" s="99" t="inlineStr">
        <is>
          <t>Alto</t>
        </is>
      </c>
      <c r="I123" s="101" t="inlineStr">
        <is>
          <t>m2</t>
        </is>
      </c>
      <c r="J123" s="106" t="inlineStr">
        <is>
          <t>UDS</t>
        </is>
      </c>
      <c r="K123" s="101" t="inlineStr">
        <is>
          <t>€/m2</t>
        </is>
      </c>
      <c r="L123" s="142" t="inlineStr">
        <is>
          <t>€/m2 Real</t>
        </is>
      </c>
      <c r="M123" s="101" t="inlineStr">
        <is>
          <t>€/Empresa</t>
        </is>
      </c>
      <c r="N123" s="102" t="inlineStr">
        <is>
          <t>Markup %</t>
        </is>
      </c>
      <c r="O123" s="101" t="inlineStr">
        <is>
          <t>€ TOTAL</t>
        </is>
      </c>
      <c r="P123" s="101" t="inlineStr">
        <is>
          <t>BEN.EMP</t>
        </is>
      </c>
      <c r="Q123" s="122" t="inlineStr">
        <is>
          <t>COSTE TOT</t>
        </is>
      </c>
      <c r="R123" s="136" t="inlineStr">
        <is>
          <t>Diseño (2m2/1h)</t>
        </is>
      </c>
      <c r="S123" s="109" t="inlineStr">
        <is>
          <t xml:space="preserve">COSTE MAT </t>
        </is>
      </c>
      <c r="T123" s="113" t="inlineStr">
        <is>
          <t>Tableros chopo</t>
        </is>
      </c>
      <c r="U123" s="110" t="inlineStr">
        <is>
          <t xml:space="preserve">( 20m2/h)  Corte </t>
        </is>
      </c>
      <c r="V123" s="110" t="inlineStr">
        <is>
          <t>Merma 20%</t>
        </is>
      </c>
      <c r="W123" s="111" t="inlineStr">
        <is>
          <t>Estructura</t>
        </is>
      </c>
      <c r="X123" s="111" t="inlineStr">
        <is>
          <t>Corte</t>
        </is>
      </c>
      <c r="Y123" s="116" t="inlineStr">
        <is>
          <t>Merma 20%</t>
        </is>
      </c>
      <c r="Z123" s="116" t="inlineStr">
        <is>
          <t>CNC</t>
        </is>
      </c>
      <c r="AA123" s="147" t="inlineStr">
        <is>
          <t>(2m2/h) T. Fabricación</t>
        </is>
      </c>
      <c r="AB123" s="111" t="inlineStr">
        <is>
          <t>(30m2/h) T. Paletizacion</t>
        </is>
      </c>
      <c r="AC123" s="110" t="inlineStr">
        <is>
          <t>Palets</t>
        </is>
      </c>
      <c r="AD123" s="111" t="inlineStr">
        <is>
          <t>Tornilleria</t>
        </is>
      </c>
      <c r="AE123" s="112" t="n"/>
      <c r="AF123" s="112" t="n"/>
      <c r="AG123" s="112" t="n"/>
      <c r="AH123" s="112" t="n"/>
      <c r="AI123" s="112" t="n"/>
    </row>
    <row r="124">
      <c r="A124" s="1" t="inlineStr">
        <is>
          <t>Curvas</t>
        </is>
      </c>
      <c r="B124" s="1" t="inlineStr">
        <is>
          <t>Curvas</t>
        </is>
      </c>
      <c r="C124" s="1" t="inlineStr">
        <is>
          <t>Chopo</t>
        </is>
      </c>
      <c r="D124" s="2" t="inlineStr">
        <is>
          <t>Para Pintar Chopo 5mm a 1 caras (Minimo 1m2 por tira)</t>
        </is>
      </c>
      <c r="E124" s="17" t="n"/>
      <c r="F124" s="119" t="n">
        <v>0</v>
      </c>
      <c r="G124" s="119" t="n">
        <v>0</v>
      </c>
      <c r="H124" s="119" t="n">
        <v>0</v>
      </c>
      <c r="I124" s="5">
        <f>F124*G124</f>
        <v/>
      </c>
      <c r="J124" s="6" t="n">
        <v>0</v>
      </c>
      <c r="K124" s="19" t="n">
        <v>44</v>
      </c>
      <c r="L124" s="188">
        <f>IFERROR(ROUNDUP((Q124/I124)/0.5,0)*0.5,0)</f>
        <v/>
      </c>
      <c r="M124" s="5">
        <f>IF(I124=0,J124*K124,I124*J124*K124)</f>
        <v/>
      </c>
      <c r="N124" s="38">
        <f>$N$126</f>
        <v/>
      </c>
      <c r="O124" s="39">
        <f>SUM(M124*N124)+M124</f>
        <v/>
      </c>
      <c r="P124" s="5">
        <f>SUM(O124-M124)</f>
        <v/>
      </c>
      <c r="Q124" s="128">
        <f>R124+S124</f>
        <v/>
      </c>
      <c r="R124" s="127">
        <f>J124*(MAX(1, ROUNDUP(I124/2, 0) * 1) *COSTE!$G$3)</f>
        <v/>
      </c>
      <c r="S124" s="126">
        <f>SUM(T124:AU124)</f>
        <v/>
      </c>
      <c r="T124" s="126">
        <f>COSTE!$G$32*( (0.25*2*3.1415*F124)*H124)</f>
        <v/>
      </c>
      <c r="U124" s="126">
        <f>(( (0.25*2*3.1415*F124)*H124)/20)*COSTE!$G$4</f>
        <v/>
      </c>
      <c r="V124" s="126">
        <f>T124*20%</f>
        <v/>
      </c>
      <c r="W124" s="126">
        <f>COSTE!$G$20*((F124*G124)*H124)+((F124*H124)*((0.25*2*3.1415*F124)/0.5))</f>
        <v/>
      </c>
      <c r="X124" s="126">
        <f>((F124*H124)*((0.25*2*3.1415*F124)*COSTE!$J$14))</f>
        <v/>
      </c>
      <c r="Y124" s="126">
        <f>W124*20%</f>
        <v/>
      </c>
      <c r="Z124" s="126">
        <f>(((F124*G124)*H124)/5)*25</f>
        <v/>
      </c>
      <c r="AA124" s="126">
        <f>(I124/1)*COSTE!$G$4</f>
        <v/>
      </c>
      <c r="AB124" s="126">
        <f>(I124/30)*COSTE!$G$5</f>
        <v/>
      </c>
      <c r="AC124" s="126">
        <f>ROUNDUP(I124/35,0)*((COSTE!$G$20/3)+(COSTE!$G$45*1)+(COSTE!$G$4/6)+(0.5))</f>
        <v/>
      </c>
      <c r="AD124" s="126">
        <f>I124*0.1</f>
        <v/>
      </c>
      <c r="AE124" s="112" t="n"/>
      <c r="AF124" s="112" t="n"/>
      <c r="AG124" s="112" t="n"/>
      <c r="AH124" s="112" t="n"/>
      <c r="AI124" s="112" t="n"/>
      <c r="AL124" s="193" t="n"/>
    </row>
    <row r="125">
      <c r="A125" s="1" t="inlineStr">
        <is>
          <t>Curvas</t>
        </is>
      </c>
      <c r="B125" s="1" t="inlineStr">
        <is>
          <t>Curvas</t>
        </is>
      </c>
      <c r="C125" s="1" t="inlineStr">
        <is>
          <t>Chopo</t>
        </is>
      </c>
      <c r="D125" s="2" t="inlineStr">
        <is>
          <t>Para Pintar Chopo 5mm a 2 caras (Minimo 1m2 por tira)</t>
        </is>
      </c>
      <c r="E125" s="17" t="n"/>
      <c r="F125" s="119" t="n">
        <v>0</v>
      </c>
      <c r="G125" s="119" t="n">
        <v>0</v>
      </c>
      <c r="H125" s="119" t="n">
        <v>0</v>
      </c>
      <c r="I125" s="5">
        <f>F125*G125</f>
        <v/>
      </c>
      <c r="J125" s="6" t="n">
        <v>0</v>
      </c>
      <c r="K125" s="19" t="n">
        <v>58</v>
      </c>
      <c r="L125" s="188">
        <f>IFERROR(ROUNDUP((Q125/I125)/0.5,0)*0.5,0)</f>
        <v/>
      </c>
      <c r="M125" s="5">
        <f>IF(I125=0,J125*K125,I125*J125*K125)</f>
        <v/>
      </c>
      <c r="N125" s="38">
        <f>$N$126</f>
        <v/>
      </c>
      <c r="O125" s="39">
        <f>SUM(M125*N125)+M125</f>
        <v/>
      </c>
      <c r="P125" s="5">
        <f>SUM(O125-M125)</f>
        <v/>
      </c>
      <c r="Q125" s="128">
        <f>R125+S125</f>
        <v/>
      </c>
      <c r="R125" s="127">
        <f>J125*(MAX(1, ROUNDUP(I125/2, 0) * 1) *COSTE!$G$3)</f>
        <v/>
      </c>
      <c r="S125" s="126">
        <f>SUM(T125:AU125)</f>
        <v/>
      </c>
      <c r="T125" s="126">
        <f>COSTE!$G$32*(( (0.25*2*3.1415*F125)*H125)*2)</f>
        <v/>
      </c>
      <c r="U125" s="126">
        <f>(( ((0.25*2*3.1415*F125)*H125)/20)*2)*COSTE!$G$4</f>
        <v/>
      </c>
      <c r="V125" s="126">
        <f>T125*20%</f>
        <v/>
      </c>
      <c r="W125" s="126">
        <f>COSTE!$G$20*((F125*G125)*H125)+((F125*H125)*((0.25*2*3.1415*F125)/0.5))</f>
        <v/>
      </c>
      <c r="X125" s="126">
        <f>((F125*H125)*((0.25*2*3.1415*F125)*COSTE!$J$14))</f>
        <v/>
      </c>
      <c r="Y125" s="126">
        <f>W125*20%</f>
        <v/>
      </c>
      <c r="Z125" s="126">
        <f>(((F125*G125)*H125)/5)*25</f>
        <v/>
      </c>
      <c r="AA125" s="126">
        <f>(I125/0.75)*COSTE!$G$4</f>
        <v/>
      </c>
      <c r="AB125" s="126">
        <f>(I125/30)*COSTE!$G$5</f>
        <v/>
      </c>
      <c r="AC125" s="126">
        <f>ROUNDUP(I125/35,0)*((COSTE!$G$20/3)+(COSTE!$G$45*1)+(COSTE!$G$4/6)+(0.5))</f>
        <v/>
      </c>
      <c r="AD125" s="126">
        <f>I125*0.1</f>
        <v/>
      </c>
      <c r="AE125" s="112" t="n"/>
      <c r="AF125" s="112" t="n"/>
      <c r="AG125" s="112" t="n"/>
      <c r="AH125" s="112" t="n"/>
      <c r="AI125" s="112" t="n"/>
      <c r="AL125" s="193" t="n"/>
    </row>
    <row r="126" customFormat="1" s="191">
      <c r="A126" s="22" t="n"/>
      <c r="B126" s="22" t="n"/>
      <c r="C126" s="22" t="n"/>
      <c r="D126" s="22" t="n"/>
      <c r="E126" s="22" t="n"/>
      <c r="F126" s="8" t="n"/>
      <c r="G126" s="8" t="n"/>
      <c r="H126" s="8" t="n"/>
      <c r="I126" s="8" t="n"/>
      <c r="J126" s="8" t="n"/>
      <c r="K126" s="8" t="inlineStr">
        <is>
          <t>TOTAL CURVAS</t>
        </is>
      </c>
      <c r="L126" s="144" t="n"/>
      <c r="M126" s="9">
        <f>SUM(M123:M125)</f>
        <v/>
      </c>
      <c r="N126" s="18">
        <f>$N$2</f>
        <v/>
      </c>
      <c r="O126" s="9">
        <f>SUM(O123:O125)</f>
        <v/>
      </c>
      <c r="P126" s="9">
        <f>SUM(P123:P125)</f>
        <v/>
      </c>
      <c r="Q126" s="9">
        <f>SUM(Q123:Q125)</f>
        <v/>
      </c>
      <c r="R126" s="9" t="n"/>
      <c r="S126" s="9">
        <f>SUM(S123:S125)</f>
        <v/>
      </c>
      <c r="T126" s="131" t="n"/>
      <c r="U126" s="131" t="n"/>
      <c r="V126" s="131" t="n"/>
      <c r="W126" s="131" t="n"/>
      <c r="X126" s="131" t="n"/>
      <c r="Y126" s="131" t="n"/>
      <c r="Z126" s="131" t="n"/>
      <c r="AA126" s="131" t="n"/>
      <c r="AB126" s="131" t="n"/>
      <c r="AC126" s="131" t="n"/>
      <c r="AD126" s="131" t="n"/>
      <c r="AE126" s="131" t="n"/>
      <c r="AF126" s="131" t="n"/>
      <c r="AG126" s="131" t="n"/>
      <c r="AH126" s="131" t="n"/>
      <c r="AI126" s="131" t="n"/>
      <c r="AL126" s="191" t="n"/>
    </row>
    <row r="127">
      <c r="A127" s="104" t="inlineStr">
        <is>
          <t>FAMILIA</t>
        </is>
      </c>
      <c r="B127" s="104" t="inlineStr">
        <is>
          <t>SUB F.</t>
        </is>
      </c>
      <c r="C127" s="104" t="inlineStr">
        <is>
          <t>MATERIAL</t>
        </is>
      </c>
      <c r="D127" s="100" t="inlineStr">
        <is>
          <t>CNC</t>
        </is>
      </c>
      <c r="E127" s="100" t="inlineStr">
        <is>
          <t>COMENTARIOS</t>
        </is>
      </c>
      <c r="F127" s="99" t="n"/>
      <c r="G127" s="99" t="n"/>
      <c r="H127" s="99" t="n"/>
      <c r="I127" s="101" t="n"/>
      <c r="J127" s="106" t="inlineStr">
        <is>
          <t>UDS</t>
        </is>
      </c>
      <c r="K127" s="101" t="inlineStr">
        <is>
          <t>€/Uds</t>
        </is>
      </c>
      <c r="L127" s="142" t="inlineStr">
        <is>
          <t>€/Uds Real</t>
        </is>
      </c>
      <c r="M127" s="101" t="inlineStr">
        <is>
          <t>€/Empresa</t>
        </is>
      </c>
      <c r="N127" s="102" t="inlineStr">
        <is>
          <t>Markup %</t>
        </is>
      </c>
      <c r="O127" s="101" t="inlineStr">
        <is>
          <t>€ TOTAL</t>
        </is>
      </c>
      <c r="P127" s="101" t="inlineStr">
        <is>
          <t>BEN.EMP</t>
        </is>
      </c>
      <c r="Q127" s="122" t="inlineStr">
        <is>
          <t>COSTE TOT</t>
        </is>
      </c>
      <c r="R127" s="136" t="inlineStr">
        <is>
          <t>Diseño (1uds/0,5h)</t>
        </is>
      </c>
      <c r="S127" s="109" t="inlineStr">
        <is>
          <t xml:space="preserve">COSTE MAT </t>
        </is>
      </c>
      <c r="T127" s="110" t="inlineStr">
        <is>
          <t xml:space="preserve"> Corte CNC</t>
        </is>
      </c>
      <c r="U127" s="161" t="n"/>
      <c r="V127" s="161" t="n"/>
      <c r="W127" s="161" t="n"/>
      <c r="X127" s="115" t="n"/>
      <c r="Y127" s="115" t="n"/>
      <c r="Z127" s="168" t="n"/>
      <c r="AA127" s="161" t="n"/>
      <c r="AB127" s="161" t="n"/>
      <c r="AC127" s="161" t="n"/>
      <c r="AD127" s="112" t="n"/>
      <c r="AE127" s="112" t="n"/>
      <c r="AF127" s="112" t="n"/>
      <c r="AG127" s="112" t="n"/>
      <c r="AH127" s="112" t="n"/>
      <c r="AI127" s="112" t="n"/>
    </row>
    <row r="128">
      <c r="A128" s="1" t="inlineStr">
        <is>
          <t>Mecanizados</t>
        </is>
      </c>
      <c r="B128" s="1" t="inlineStr">
        <is>
          <t>CNC</t>
        </is>
      </c>
      <c r="C128" s="1" t="n"/>
      <c r="D128" s="1" t="inlineStr">
        <is>
          <t>Cnc</t>
        </is>
      </c>
      <c r="E128" s="4" t="inlineStr">
        <is>
          <t>Verificar precio</t>
        </is>
      </c>
      <c r="F128" s="26" t="n"/>
      <c r="G128" s="26" t="n"/>
      <c r="H128" s="26" t="n"/>
      <c r="I128" s="26" t="n"/>
      <c r="J128" s="6" t="n">
        <v>0</v>
      </c>
      <c r="K128" s="10" t="n">
        <v>23</v>
      </c>
      <c r="L128" s="188">
        <f>IFERROR(ROUNDUP((Q128/J128)/0.5,0)*0.5,0)</f>
        <v/>
      </c>
      <c r="M128" s="5">
        <f>IF(I128=0,J128*K128,I128*J128*K128)</f>
        <v/>
      </c>
      <c r="N128" s="38">
        <f>$N$132</f>
        <v/>
      </c>
      <c r="O128" s="39">
        <f>SUM(M128*N128)+M128</f>
        <v/>
      </c>
      <c r="P128" s="5">
        <f>SUM(O128-M128)</f>
        <v/>
      </c>
      <c r="Q128" s="128">
        <f>R128+S128</f>
        <v/>
      </c>
      <c r="R128" s="127">
        <f>J128*(MAX(0.5, ROUNDUP(J128/1, 0) * 0.5) *COSTE!$G$3)</f>
        <v/>
      </c>
      <c r="S128" s="126">
        <f>SUM(T128:AU128)</f>
        <v/>
      </c>
      <c r="T128" s="129">
        <f>J128*COSTE!$G$11</f>
        <v/>
      </c>
      <c r="U128" s="112" t="n"/>
      <c r="V128" s="112" t="n"/>
      <c r="W128" s="112" t="n"/>
      <c r="X128" s="112" t="n"/>
      <c r="Y128" s="112" t="n"/>
      <c r="Z128" s="112" t="n"/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  <c r="AI128" s="112" t="n"/>
    </row>
    <row r="129">
      <c r="A129" s="104" t="inlineStr">
        <is>
          <t>FAMILIA</t>
        </is>
      </c>
      <c r="B129" s="104" t="inlineStr">
        <is>
          <t>SUB F.</t>
        </is>
      </c>
      <c r="C129" s="104" t="inlineStr">
        <is>
          <t>MATERIAL</t>
        </is>
      </c>
      <c r="D129" s="100" t="inlineStr">
        <is>
          <t>LED</t>
        </is>
      </c>
      <c r="E129" s="100" t="inlineStr">
        <is>
          <t>COMENTARIOS</t>
        </is>
      </c>
      <c r="F129" s="99" t="n"/>
      <c r="G129" s="99" t="n"/>
      <c r="H129" s="99" t="n"/>
      <c r="I129" s="101" t="inlineStr">
        <is>
          <t>ml</t>
        </is>
      </c>
      <c r="J129" s="106" t="inlineStr">
        <is>
          <t>UDS</t>
        </is>
      </c>
      <c r="K129" s="101" t="inlineStr">
        <is>
          <t>€/ml</t>
        </is>
      </c>
      <c r="L129" s="142" t="inlineStr">
        <is>
          <t>€/ml Real</t>
        </is>
      </c>
      <c r="M129" s="101" t="inlineStr">
        <is>
          <t>€/Empresa</t>
        </is>
      </c>
      <c r="N129" s="102" t="inlineStr">
        <is>
          <t>Markup %</t>
        </is>
      </c>
      <c r="O129" s="101" t="inlineStr">
        <is>
          <t>€ TOTAL</t>
        </is>
      </c>
      <c r="P129" s="101" t="inlineStr">
        <is>
          <t>BEN.EMP</t>
        </is>
      </c>
      <c r="Q129" s="122" t="inlineStr">
        <is>
          <t>COSTE TOT</t>
        </is>
      </c>
      <c r="R129" s="136" t="inlineStr">
        <is>
          <t>Diseño (10ml /2h)</t>
        </is>
      </c>
      <c r="S129" s="109" t="inlineStr">
        <is>
          <t xml:space="preserve">COSTE MAT </t>
        </is>
      </c>
      <c r="T129" s="114" t="inlineStr">
        <is>
          <t>(4 ml/h) T. Fabricación</t>
        </is>
      </c>
      <c r="U129" s="114" t="inlineStr">
        <is>
          <t>(2 ml/h) T. Fabricación</t>
        </is>
      </c>
      <c r="V129" s="161" t="n"/>
      <c r="W129" s="161" t="n"/>
      <c r="X129" s="115" t="n"/>
      <c r="Y129" s="115" t="n"/>
      <c r="Z129" s="168" t="n"/>
      <c r="AA129" s="161" t="n"/>
      <c r="AB129" s="161" t="n"/>
      <c r="AC129" s="161" t="n"/>
      <c r="AD129" s="112" t="n"/>
      <c r="AE129" s="112" t="n"/>
      <c r="AF129" s="112" t="n"/>
      <c r="AG129" s="112" t="n"/>
      <c r="AH129" s="112" t="n"/>
      <c r="AI129" s="112" t="n"/>
    </row>
    <row r="130">
      <c r="A130" s="1" t="inlineStr">
        <is>
          <t>Mecanizados</t>
        </is>
      </c>
      <c r="B130" s="1" t="inlineStr">
        <is>
          <t>Led</t>
        </is>
      </c>
      <c r="C130" s="1" t="inlineStr">
        <is>
          <t>Regata</t>
        </is>
      </c>
      <c r="D130" s="2" t="inlineStr">
        <is>
          <t>Regata Led Recta</t>
        </is>
      </c>
      <c r="E130" s="32" t="n"/>
      <c r="F130" s="25" t="n"/>
      <c r="G130" s="25" t="n"/>
      <c r="H130" s="25" t="n"/>
      <c r="I130" s="119" t="n">
        <v>0</v>
      </c>
      <c r="J130" s="6" t="n">
        <v>0</v>
      </c>
      <c r="K130" s="19" t="n">
        <v>5</v>
      </c>
      <c r="L130" s="188">
        <f>IFERROR(ROUNDUP((Q130/I130)/0.5,0)*0.5,0)</f>
        <v/>
      </c>
      <c r="M130" s="5">
        <f>IF(I130=0,J130*K130,I130*J130*K130)</f>
        <v/>
      </c>
      <c r="N130" s="38">
        <f>$N$14</f>
        <v/>
      </c>
      <c r="O130" s="39">
        <f>SUM(M130*N130)+M130</f>
        <v/>
      </c>
      <c r="P130" s="5">
        <f>SUM(O130-M130)</f>
        <v/>
      </c>
      <c r="Q130" s="19">
        <f>R130+S130</f>
        <v/>
      </c>
      <c r="R130" s="127">
        <f>J130*(MAX(1, ROUNDUP(I130/10, 0) * 2) *COSTE!$G$3)</f>
        <v/>
      </c>
      <c r="S130" s="126">
        <f>SUM(T130:AU130)</f>
        <v/>
      </c>
      <c r="T130" s="126">
        <f>(I130/4)*COSTE!$G$5</f>
        <v/>
      </c>
      <c r="U130" s="112" t="n"/>
      <c r="V130" s="112" t="n"/>
      <c r="W130" s="112" t="n"/>
      <c r="X130" s="112" t="n"/>
      <c r="Y130" s="112" t="n"/>
      <c r="Z130" s="112" t="n"/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  <c r="AI130" s="112" t="n"/>
    </row>
    <row r="131">
      <c r="A131" s="1" t="inlineStr">
        <is>
          <t>Mecanizados</t>
        </is>
      </c>
      <c r="B131" s="1" t="inlineStr">
        <is>
          <t>Led</t>
        </is>
      </c>
      <c r="C131" s="1" t="inlineStr">
        <is>
          <t>Regata</t>
        </is>
      </c>
      <c r="D131" s="2" t="inlineStr">
        <is>
          <t>Regata Led Diagonal o Curva</t>
        </is>
      </c>
      <c r="E131" s="32" t="n"/>
      <c r="F131" s="25" t="n"/>
      <c r="G131" s="25" t="n"/>
      <c r="H131" s="25" t="n"/>
      <c r="I131" s="119" t="n">
        <v>0</v>
      </c>
      <c r="J131" s="6" t="n">
        <v>0</v>
      </c>
      <c r="K131" s="19" t="n">
        <v>10</v>
      </c>
      <c r="L131" s="188">
        <f>IFERROR(ROUNDUP((Q131/I131)/0.5,0)*0.5,0)</f>
        <v/>
      </c>
      <c r="M131" s="5">
        <f>IF(I131=0,J131*K131,I131*J131*K131)</f>
        <v/>
      </c>
      <c r="N131" s="38">
        <f>$N$14</f>
        <v/>
      </c>
      <c r="O131" s="39">
        <f>SUM(M131*N131)+M131</f>
        <v/>
      </c>
      <c r="P131" s="5">
        <f>SUM(O131-M131)</f>
        <v/>
      </c>
      <c r="Q131" s="19">
        <f>R131+S131</f>
        <v/>
      </c>
      <c r="R131" s="127">
        <f>J131*(MAX(1, ROUNDUP(I131/10, 0) * 2) *COSTE!$G$3)</f>
        <v/>
      </c>
      <c r="S131" s="126">
        <f>SUM(T131:AU131)</f>
        <v/>
      </c>
      <c r="T131" s="115" t="n"/>
      <c r="U131" s="126">
        <f>(I131/2)*COSTE!$G$5</f>
        <v/>
      </c>
      <c r="V131" s="112" t="n"/>
      <c r="W131" s="112" t="n"/>
      <c r="X131" s="112" t="n"/>
      <c r="Y131" s="112" t="n"/>
      <c r="Z131" s="112" t="n"/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  <c r="AI131" s="112" t="n"/>
    </row>
    <row r="132" customFormat="1" s="191">
      <c r="A132" s="22" t="n"/>
      <c r="B132" s="22" t="n"/>
      <c r="C132" s="22" t="n"/>
      <c r="D132" s="22" t="n"/>
      <c r="E132" s="22" t="n"/>
      <c r="F132" s="8" t="n"/>
      <c r="G132" s="8" t="n"/>
      <c r="H132" s="8" t="n"/>
      <c r="I132" s="8" t="n"/>
      <c r="J132" s="8" t="n"/>
      <c r="K132" s="8" t="inlineStr">
        <is>
          <t>TOTAL MECANIZADOS</t>
        </is>
      </c>
      <c r="L132" s="144" t="n"/>
      <c r="M132" s="9">
        <f>SUM(M128:M131)</f>
        <v/>
      </c>
      <c r="N132" s="18">
        <f>$N$2</f>
        <v/>
      </c>
      <c r="O132" s="9">
        <f>SUM(O128:O131)</f>
        <v/>
      </c>
      <c r="P132" s="9">
        <f>SUM(P128:P131)</f>
        <v/>
      </c>
      <c r="Q132" s="9">
        <f>SUM(Q127:Q131)</f>
        <v/>
      </c>
      <c r="R132" s="9" t="n"/>
      <c r="S132" s="9">
        <f>SUM(S127:S131)</f>
        <v/>
      </c>
      <c r="T132" s="131" t="n"/>
      <c r="U132" s="131" t="n"/>
      <c r="V132" s="131" t="n"/>
      <c r="W132" s="131" t="n"/>
      <c r="X132" s="131" t="n"/>
      <c r="Y132" s="131" t="n"/>
      <c r="Z132" s="131" t="n"/>
      <c r="AA132" s="131" t="n"/>
      <c r="AB132" s="131" t="n"/>
      <c r="AC132" s="131" t="n"/>
      <c r="AD132" s="131" t="n"/>
      <c r="AE132" s="131" t="n"/>
      <c r="AF132" s="131" t="n"/>
      <c r="AG132" s="131" t="n"/>
      <c r="AH132" s="131" t="n"/>
      <c r="AI132" s="131" t="n"/>
    </row>
    <row r="133">
      <c r="A133" s="104" t="inlineStr">
        <is>
          <t>FAMILIA</t>
        </is>
      </c>
      <c r="B133" s="104" t="inlineStr">
        <is>
          <t>SUB F.</t>
        </is>
      </c>
      <c r="C133" s="104" t="inlineStr">
        <is>
          <t>MATERIAL</t>
        </is>
      </c>
      <c r="D133" s="100" t="inlineStr">
        <is>
          <t>HERRERO</t>
        </is>
      </c>
      <c r="E133" s="100" t="inlineStr">
        <is>
          <t>COMENTARIOS</t>
        </is>
      </c>
      <c r="F133" s="99" t="n"/>
      <c r="G133" s="99" t="n"/>
      <c r="H133" s="99" t="n"/>
      <c r="I133" s="101" t="n"/>
      <c r="J133" s="106" t="inlineStr">
        <is>
          <t>UDS</t>
        </is>
      </c>
      <c r="K133" s="101" t="inlineStr">
        <is>
          <t>€/Uni</t>
        </is>
      </c>
      <c r="L133" s="142" t="inlineStr">
        <is>
          <t>€/Uni Real</t>
        </is>
      </c>
      <c r="M133" s="101" t="inlineStr">
        <is>
          <t>€/Empresa</t>
        </is>
      </c>
      <c r="N133" s="102" t="inlineStr">
        <is>
          <t>Markup %</t>
        </is>
      </c>
      <c r="O133" s="101" t="inlineStr">
        <is>
          <t>€ TOTAL</t>
        </is>
      </c>
      <c r="P133" s="101" t="inlineStr">
        <is>
          <t>BEN.EMP</t>
        </is>
      </c>
      <c r="Q133" s="122" t="inlineStr">
        <is>
          <t>COSTE TOT</t>
        </is>
      </c>
      <c r="R133" s="136" t="inlineStr">
        <is>
          <t>Diseño (1uni /2-3-6-8h)</t>
        </is>
      </c>
      <c r="S133" s="109" t="inlineStr">
        <is>
          <t xml:space="preserve">COSTE MAT </t>
        </is>
      </c>
      <c r="T133" s="110" t="inlineStr">
        <is>
          <t>Herrero + Pintura</t>
        </is>
      </c>
      <c r="U133" s="161" t="n"/>
      <c r="V133" s="161" t="n"/>
      <c r="W133" s="168" t="n"/>
      <c r="X133" s="161" t="n"/>
      <c r="Y133" s="161" t="n"/>
      <c r="Z133" s="161" t="n"/>
      <c r="AA133" s="115" t="n"/>
      <c r="AB133" s="115" t="n"/>
      <c r="AC133" s="112" t="n"/>
      <c r="AD133" s="161" t="n"/>
      <c r="AE133" s="112" t="n"/>
      <c r="AF133" s="112" t="n"/>
      <c r="AG133" s="112" t="n"/>
      <c r="AH133" s="112" t="n"/>
      <c r="AI133" s="112" t="n"/>
    </row>
    <row r="134">
      <c r="A134" s="1" t="inlineStr">
        <is>
          <t>Herrero</t>
        </is>
      </c>
      <c r="B134" s="1" t="inlineStr">
        <is>
          <t>Herrero</t>
        </is>
      </c>
      <c r="C134" s="1" t="inlineStr">
        <is>
          <t>Hierro pintado</t>
        </is>
      </c>
      <c r="D134" s="1" t="inlineStr">
        <is>
          <t>Estructura Metalica (Perfil) pequeña tipo mesita noche</t>
        </is>
      </c>
      <c r="E134" s="4" t="inlineStr">
        <is>
          <t>*New</t>
        </is>
      </c>
      <c r="F134" s="175" t="n"/>
      <c r="G134" s="175" t="n"/>
      <c r="H134" s="175" t="n"/>
      <c r="I134" s="105" t="n"/>
      <c r="J134" s="6" t="n">
        <v>0</v>
      </c>
      <c r="K134" s="10" t="n">
        <v>450</v>
      </c>
      <c r="L134" s="188">
        <f>IFERROR(ROUNDUP((Q134/J134)/0.5,0)*0.5,0)</f>
        <v/>
      </c>
      <c r="M134" s="5">
        <f>IF(I134=0,J134*K134,I134*J134*K134)</f>
        <v/>
      </c>
      <c r="N134" s="38">
        <f>$N$111</f>
        <v/>
      </c>
      <c r="O134" s="39">
        <f>SUM(M134*N134)+M134</f>
        <v/>
      </c>
      <c r="P134" s="5">
        <f>SUM(O134-M134)</f>
        <v/>
      </c>
      <c r="Q134" s="128">
        <f>R134+S134</f>
        <v/>
      </c>
      <c r="R134" s="127">
        <f>J134*(MAX(1, ROUNDUP(J134/1, 0) * 2) *COSTE!$G$3)</f>
        <v/>
      </c>
      <c r="S134" s="126">
        <f>SUM(T134:AU134)</f>
        <v/>
      </c>
      <c r="T134" s="129">
        <f>J134*400</f>
        <v/>
      </c>
      <c r="U134" s="112" t="n"/>
      <c r="V134" s="112" t="n"/>
      <c r="W134" s="112" t="n"/>
      <c r="X134" s="112" t="n"/>
      <c r="Y134" s="112" t="n"/>
      <c r="Z134" s="112" t="n"/>
      <c r="AA134" s="115" t="n"/>
      <c r="AB134" s="115" t="n"/>
      <c r="AC134" s="112" t="n"/>
      <c r="AD134" s="112" t="n"/>
      <c r="AE134" s="112" t="n"/>
      <c r="AF134" s="112" t="n"/>
      <c r="AG134" s="112" t="n"/>
      <c r="AH134" s="112" t="n"/>
      <c r="AI134" s="112" t="n"/>
    </row>
    <row r="135">
      <c r="A135" s="1" t="inlineStr">
        <is>
          <t>Herrero</t>
        </is>
      </c>
      <c r="B135" s="1" t="inlineStr">
        <is>
          <t>Herrero</t>
        </is>
      </c>
      <c r="C135" s="1" t="inlineStr">
        <is>
          <t>Hierro pintado</t>
        </is>
      </c>
      <c r="D135" s="1" t="inlineStr">
        <is>
          <t>Estructura Metalica (Perfil) pequeña tipo mesa</t>
        </is>
      </c>
      <c r="E135" s="4" t="inlineStr">
        <is>
          <t>*New</t>
        </is>
      </c>
      <c r="F135" s="175" t="n"/>
      <c r="G135" s="175" t="n"/>
      <c r="H135" s="175" t="n"/>
      <c r="I135" s="105" t="n"/>
      <c r="J135" s="6" t="n">
        <v>0</v>
      </c>
      <c r="K135" s="10" t="n">
        <v>650</v>
      </c>
      <c r="L135" s="188">
        <f>IFERROR(ROUNDUP((Q135/J135)/0.5,0)*0.5,0)</f>
        <v/>
      </c>
      <c r="M135" s="5">
        <f>IF(I135=0,J135*K135,I135*J135*K135)</f>
        <v/>
      </c>
      <c r="N135" s="38">
        <f>$N$111</f>
        <v/>
      </c>
      <c r="O135" s="39">
        <f>SUM(M135*N135)+M135</f>
        <v/>
      </c>
      <c r="P135" s="5">
        <f>SUM(O135-M135)</f>
        <v/>
      </c>
      <c r="Q135" s="128">
        <f>R135+S135</f>
        <v/>
      </c>
      <c r="R135" s="127">
        <f>J135*(MAX(1, ROUNDUP(J135/1, 0) * 2) *COSTE!$G$3)</f>
        <v/>
      </c>
      <c r="S135" s="126">
        <f>SUM(T135:AU135)</f>
        <v/>
      </c>
      <c r="T135" s="126">
        <f>J135*600</f>
        <v/>
      </c>
      <c r="U135" s="112" t="n"/>
      <c r="V135" s="112" t="n"/>
      <c r="W135" s="112" t="n"/>
      <c r="X135" s="112" t="n"/>
      <c r="Y135" s="112" t="n"/>
      <c r="Z135" s="112" t="n"/>
      <c r="AA135" s="115" t="n"/>
      <c r="AB135" s="115" t="n"/>
      <c r="AC135" s="112" t="n"/>
      <c r="AD135" s="112" t="n"/>
      <c r="AE135" s="112" t="n"/>
      <c r="AF135" s="112" t="n"/>
      <c r="AG135" s="112" t="n"/>
      <c r="AH135" s="112" t="n"/>
      <c r="AI135" s="112" t="n"/>
    </row>
    <row r="136">
      <c r="A136" s="1" t="inlineStr">
        <is>
          <t>Herrero</t>
        </is>
      </c>
      <c r="B136" s="1" t="inlineStr">
        <is>
          <t>Herrero</t>
        </is>
      </c>
      <c r="C136" s="1" t="inlineStr">
        <is>
          <t>Hierro pintado</t>
        </is>
      </c>
      <c r="D136" s="1" t="inlineStr">
        <is>
          <t>Estructura Metalica (Perfil) pequeña tipo mesa compleja</t>
        </is>
      </c>
      <c r="E136" s="4" t="inlineStr">
        <is>
          <t>*New</t>
        </is>
      </c>
      <c r="F136" s="175" t="n"/>
      <c r="G136" s="175" t="n"/>
      <c r="H136" s="175" t="n"/>
      <c r="I136" s="105" t="n"/>
      <c r="J136" s="6" t="n">
        <v>0</v>
      </c>
      <c r="K136" s="10" t="n">
        <v>1070</v>
      </c>
      <c r="L136" s="188">
        <f>IFERROR(ROUNDUP((Q136/J136)/0.5,0)*0.5,0)</f>
        <v/>
      </c>
      <c r="M136" s="5">
        <f>IF(I136=0,J136*K136,I136*J136*K136)</f>
        <v/>
      </c>
      <c r="N136" s="38">
        <f>$N$111</f>
        <v/>
      </c>
      <c r="O136" s="39">
        <f>SUM(M136*N136)+M136</f>
        <v/>
      </c>
      <c r="P136" s="5">
        <f>SUM(O136-M136)</f>
        <v/>
      </c>
      <c r="Q136" s="128">
        <f>R136+S136</f>
        <v/>
      </c>
      <c r="R136" s="127">
        <f>J136*(MAX(1, ROUNDUP(J136/1, 0) * 3) *COSTE!$G$3)</f>
        <v/>
      </c>
      <c r="S136" s="126">
        <f>SUM(T136:AU136)</f>
        <v/>
      </c>
      <c r="T136" s="126">
        <f>J136*1000</f>
        <v/>
      </c>
      <c r="U136" s="112" t="n"/>
      <c r="V136" s="112" t="n"/>
      <c r="W136" s="112" t="n"/>
      <c r="X136" s="112" t="n"/>
      <c r="Y136" s="112" t="n"/>
      <c r="Z136" s="112" t="n"/>
      <c r="AA136" s="115" t="n"/>
      <c r="AB136" s="115" t="n"/>
      <c r="AC136" s="112" t="n"/>
      <c r="AD136" s="112" t="n"/>
      <c r="AE136" s="112" t="n"/>
      <c r="AF136" s="112" t="n"/>
      <c r="AG136" s="112" t="n"/>
      <c r="AH136" s="112" t="n"/>
      <c r="AI136" s="112" t="n"/>
    </row>
    <row r="137">
      <c r="A137" s="1" t="inlineStr">
        <is>
          <t>Herrero</t>
        </is>
      </c>
      <c r="B137" s="1" t="inlineStr">
        <is>
          <t>Herrero</t>
        </is>
      </c>
      <c r="C137" s="1" t="inlineStr">
        <is>
          <t>Hierro pintado</t>
        </is>
      </c>
      <c r="D137" s="1" t="inlineStr">
        <is>
          <t>Estructura Metalica (Perfil) pequeña tipo estanteria</t>
        </is>
      </c>
      <c r="E137" s="4" t="inlineStr">
        <is>
          <t>*New</t>
        </is>
      </c>
      <c r="F137" s="175" t="n"/>
      <c r="G137" s="175" t="n"/>
      <c r="H137" s="175" t="n"/>
      <c r="I137" s="105" t="n"/>
      <c r="J137" s="6" t="n">
        <v>0</v>
      </c>
      <c r="K137" s="10" t="n">
        <v>1270</v>
      </c>
      <c r="L137" s="188">
        <f>IFERROR(ROUNDUP((Q137/J137)/0.5,0)*0.5,0)</f>
        <v/>
      </c>
      <c r="M137" s="5">
        <f>IF(I137=0,J137*K137,I137*J137*K137)</f>
        <v/>
      </c>
      <c r="N137" s="38">
        <f>$N$111</f>
        <v/>
      </c>
      <c r="O137" s="39">
        <f>SUM(M137*N137)+M137</f>
        <v/>
      </c>
      <c r="P137" s="5">
        <f>SUM(O137-M137)</f>
        <v/>
      </c>
      <c r="Q137" s="128">
        <f>R137+S137</f>
        <v/>
      </c>
      <c r="R137" s="127">
        <f>J137*(MAX(1, ROUNDUP(J137/1, 0) * 3) *COSTE!$G$3)</f>
        <v/>
      </c>
      <c r="S137" s="126">
        <f>SUM(T137:AU137)</f>
        <v/>
      </c>
      <c r="T137" s="126">
        <f>J137*1200</f>
        <v/>
      </c>
      <c r="U137" s="112" t="n"/>
      <c r="V137" s="112" t="n"/>
      <c r="W137" s="112" t="n"/>
      <c r="X137" s="112" t="n"/>
      <c r="Y137" s="112" t="n"/>
      <c r="Z137" s="112" t="n"/>
      <c r="AA137" s="115" t="n"/>
      <c r="AB137" s="115" t="n"/>
      <c r="AC137" s="112" t="n"/>
      <c r="AD137" s="112" t="n"/>
      <c r="AE137" s="112" t="n"/>
      <c r="AF137" s="112" t="n"/>
      <c r="AG137" s="112" t="n"/>
      <c r="AH137" s="112" t="n"/>
      <c r="AI137" s="112" t="n"/>
    </row>
    <row r="138">
      <c r="A138" s="1" t="inlineStr">
        <is>
          <t>Herrero</t>
        </is>
      </c>
      <c r="B138" s="1" t="inlineStr">
        <is>
          <t>Herrero</t>
        </is>
      </c>
      <c r="C138" s="1" t="inlineStr">
        <is>
          <t>Hierro pintado</t>
        </is>
      </c>
      <c r="D138" s="1" t="inlineStr">
        <is>
          <t>Estructura Metalica (Perfil) pequeña tipo estanteria grande</t>
        </is>
      </c>
      <c r="E138" s="4" t="inlineStr">
        <is>
          <t>*New</t>
        </is>
      </c>
      <c r="F138" s="175" t="n"/>
      <c r="G138" s="175" t="n"/>
      <c r="H138" s="175" t="n"/>
      <c r="I138" s="105" t="n"/>
      <c r="J138" s="6" t="n">
        <v>0</v>
      </c>
      <c r="K138" s="10" t="n">
        <v>1870</v>
      </c>
      <c r="L138" s="188">
        <f>IFERROR(ROUNDUP((Q138/J138)/0.5,0)*0.5,0)</f>
        <v/>
      </c>
      <c r="M138" s="5">
        <f>IF(I138=0,J138*K138,I138*J138*K138)</f>
        <v/>
      </c>
      <c r="N138" s="38">
        <f>$N$111</f>
        <v/>
      </c>
      <c r="O138" s="39">
        <f>SUM(M138*N138)+M138</f>
        <v/>
      </c>
      <c r="P138" s="5">
        <f>SUM(O138-M138)</f>
        <v/>
      </c>
      <c r="Q138" s="128">
        <f>R138+S138</f>
        <v/>
      </c>
      <c r="R138" s="127">
        <f>J138*(MAX(1, ROUNDUP(J138/1, 0) * 3) *COSTE!$G$3)</f>
        <v/>
      </c>
      <c r="S138" s="126">
        <f>SUM(T138:AU138)</f>
        <v/>
      </c>
      <c r="T138" s="126">
        <f>J138*1800</f>
        <v/>
      </c>
      <c r="U138" s="112" t="n"/>
      <c r="V138" s="112" t="n"/>
      <c r="W138" s="112" t="n"/>
      <c r="X138" s="112" t="n"/>
      <c r="Y138" s="112" t="n"/>
      <c r="Z138" s="112" t="n"/>
      <c r="AA138" s="115" t="n"/>
      <c r="AB138" s="115" t="n"/>
      <c r="AC138" s="112" t="n"/>
      <c r="AD138" s="112" t="n"/>
      <c r="AE138" s="112" t="n"/>
      <c r="AF138" s="112" t="n"/>
      <c r="AG138" s="112" t="n"/>
      <c r="AH138" s="112" t="n"/>
      <c r="AI138" s="112" t="n"/>
    </row>
    <row r="139">
      <c r="A139" s="1" t="inlineStr">
        <is>
          <t>Herrero</t>
        </is>
      </c>
      <c r="B139" s="1" t="inlineStr">
        <is>
          <t>Herrero</t>
        </is>
      </c>
      <c r="C139" s="1" t="inlineStr">
        <is>
          <t>Hierro pintado</t>
        </is>
      </c>
      <c r="D139" s="1" t="inlineStr">
        <is>
          <t xml:space="preserve">Estructura Metalica (Chapa laser Soldada)  pequeña tipo estructura compleja grande </t>
        </is>
      </c>
      <c r="E139" s="4" t="inlineStr">
        <is>
          <t>*New</t>
        </is>
      </c>
      <c r="F139" s="175" t="n"/>
      <c r="G139" s="175" t="n"/>
      <c r="H139" s="175" t="n"/>
      <c r="I139" s="105" t="n"/>
      <c r="J139" s="6" t="n">
        <v>0</v>
      </c>
      <c r="K139" s="10" t="n">
        <v>3130</v>
      </c>
      <c r="L139" s="188">
        <f>IFERROR(ROUNDUP((Q139/J139)/0.5,0)*0.5,0)</f>
        <v/>
      </c>
      <c r="M139" s="5">
        <f>IF(I139=0,J139*K139,I139*J139*K139)</f>
        <v/>
      </c>
      <c r="N139" s="38">
        <f>$N$111</f>
        <v/>
      </c>
      <c r="O139" s="39">
        <f>SUM(M139*N139)+M139</f>
        <v/>
      </c>
      <c r="P139" s="5">
        <f>SUM(O139-M139)</f>
        <v/>
      </c>
      <c r="Q139" s="128">
        <f>R139+S139</f>
        <v/>
      </c>
      <c r="R139" s="127">
        <f>J139*(MAX(1, ROUNDUP(J139/1, 0) * 6) *COSTE!$G$3)</f>
        <v/>
      </c>
      <c r="S139" s="126">
        <f>SUM(T139:AU139)</f>
        <v/>
      </c>
      <c r="T139" s="126">
        <f>J139*3000</f>
        <v/>
      </c>
      <c r="U139" s="112" t="n"/>
      <c r="V139" s="112" t="n"/>
      <c r="W139" s="112" t="n"/>
      <c r="X139" s="112" t="n"/>
      <c r="Y139" s="112" t="n"/>
      <c r="Z139" s="112" t="n"/>
      <c r="AA139" s="115" t="n"/>
      <c r="AB139" s="115" t="n"/>
      <c r="AC139" s="112" t="n"/>
      <c r="AD139" s="112" t="n"/>
      <c r="AE139" s="112" t="n"/>
      <c r="AF139" s="112" t="n"/>
      <c r="AG139" s="112" t="n"/>
      <c r="AH139" s="112" t="n"/>
      <c r="AI139" s="112" t="n"/>
    </row>
    <row r="140">
      <c r="A140" s="1" t="inlineStr">
        <is>
          <t>Herrero</t>
        </is>
      </c>
      <c r="B140" s="1" t="inlineStr">
        <is>
          <t>Herrero</t>
        </is>
      </c>
      <c r="C140" s="1" t="inlineStr">
        <is>
          <t>Hierro pintado</t>
        </is>
      </c>
      <c r="D140" s="1" t="inlineStr">
        <is>
          <t xml:space="preserve">Estructura Metalica (Chapa laser Soldada) pequeña tipo estructura compleja muy grande </t>
        </is>
      </c>
      <c r="E140" s="4" t="inlineStr">
        <is>
          <t>*New</t>
        </is>
      </c>
      <c r="F140" s="175" t="n"/>
      <c r="G140" s="175" t="n"/>
      <c r="H140" s="175" t="n"/>
      <c r="I140" s="105" t="n"/>
      <c r="J140" s="6" t="n">
        <v>0</v>
      </c>
      <c r="K140" s="10" t="n">
        <v>3680</v>
      </c>
      <c r="L140" s="188">
        <f>IFERROR(ROUNDUP((Q140/J140)/0.5,0)*0.5,0)</f>
        <v/>
      </c>
      <c r="M140" s="5">
        <f>IF(I140=0,J140*K140,I140*J140*K140)</f>
        <v/>
      </c>
      <c r="N140" s="38">
        <f>$N$111</f>
        <v/>
      </c>
      <c r="O140" s="39">
        <f>SUM(M140*N140)+M140</f>
        <v/>
      </c>
      <c r="P140" s="5">
        <f>SUM(O140-M140)</f>
        <v/>
      </c>
      <c r="Q140" s="128">
        <f>R140+S140</f>
        <v/>
      </c>
      <c r="R140" s="127">
        <f>J140*(MAX(1, ROUNDUP(J140/1, 0) * 8) *COSTE!$G$3)</f>
        <v/>
      </c>
      <c r="S140" s="126">
        <f>SUM(T140:AU140)</f>
        <v/>
      </c>
      <c r="T140" s="126">
        <f>J140*3500</f>
        <v/>
      </c>
      <c r="U140" s="112" t="n"/>
      <c r="V140" s="112" t="n"/>
      <c r="W140" s="112" t="n"/>
      <c r="X140" s="112" t="n"/>
      <c r="Y140" s="112" t="n"/>
      <c r="Z140" s="112" t="n"/>
      <c r="AA140" s="115" t="n"/>
      <c r="AB140" s="115" t="n"/>
      <c r="AC140" s="112" t="n"/>
      <c r="AD140" s="112" t="n"/>
      <c r="AE140" s="112" t="n"/>
      <c r="AF140" s="112" t="n"/>
      <c r="AG140" s="112" t="n"/>
      <c r="AH140" s="112" t="n"/>
      <c r="AI140" s="112" t="n"/>
    </row>
    <row r="141">
      <c r="A141" s="104" t="inlineStr">
        <is>
          <t>FAMILIA</t>
        </is>
      </c>
      <c r="B141" s="104" t="inlineStr">
        <is>
          <t>SUB F.</t>
        </is>
      </c>
      <c r="C141" s="104" t="inlineStr">
        <is>
          <t>MATERIAL</t>
        </is>
      </c>
      <c r="D141" s="100" t="inlineStr">
        <is>
          <t>LACADOR</t>
        </is>
      </c>
      <c r="E141" s="100" t="inlineStr">
        <is>
          <t>COMENTARIOS</t>
        </is>
      </c>
      <c r="F141" s="99" t="inlineStr">
        <is>
          <t>Ancho</t>
        </is>
      </c>
      <c r="G141" s="99" t="inlineStr">
        <is>
          <t>Fondo</t>
        </is>
      </c>
      <c r="H141" s="99" t="inlineStr">
        <is>
          <t>Alto</t>
        </is>
      </c>
      <c r="I141" s="101" t="inlineStr">
        <is>
          <t>m3</t>
        </is>
      </c>
      <c r="J141" s="106" t="inlineStr">
        <is>
          <t>UDS</t>
        </is>
      </c>
      <c r="K141" s="101" t="inlineStr">
        <is>
          <t>€/m3</t>
        </is>
      </c>
      <c r="L141" s="142" t="inlineStr">
        <is>
          <t>€/m3 Real</t>
        </is>
      </c>
      <c r="M141" s="101" t="inlineStr">
        <is>
          <t>€/Empresa</t>
        </is>
      </c>
      <c r="N141" s="102" t="inlineStr">
        <is>
          <t>Markup %</t>
        </is>
      </c>
      <c r="O141" s="101" t="inlineStr">
        <is>
          <t>€ TOTAL</t>
        </is>
      </c>
      <c r="P141" s="101" t="inlineStr">
        <is>
          <t>BEN.EMP</t>
        </is>
      </c>
      <c r="Q141" s="122" t="inlineStr">
        <is>
          <t>COSTE TOT</t>
        </is>
      </c>
      <c r="R141" s="136" t="inlineStr">
        <is>
          <t xml:space="preserve">Diseño </t>
        </is>
      </c>
      <c r="S141" s="109" t="inlineStr">
        <is>
          <t xml:space="preserve">COSTE MAT </t>
        </is>
      </c>
      <c r="T141" s="110" t="inlineStr">
        <is>
          <t>Lacado(Color)</t>
        </is>
      </c>
      <c r="U141" s="110" t="inlineStr">
        <is>
          <t>Logistica Lacado</t>
        </is>
      </c>
      <c r="V141" s="161" t="n"/>
      <c r="W141" s="168" t="n"/>
      <c r="X141" s="161" t="n"/>
      <c r="Y141" s="161" t="n"/>
      <c r="Z141" s="161" t="n"/>
      <c r="AA141" s="115" t="n"/>
      <c r="AB141" s="115" t="n"/>
      <c r="AC141" s="112" t="n"/>
      <c r="AD141" s="161" t="n"/>
      <c r="AE141" s="112" t="n"/>
      <c r="AF141" s="112" t="n"/>
      <c r="AG141" s="112" t="n"/>
      <c r="AH141" s="112" t="n"/>
      <c r="AI141" s="112" t="n"/>
    </row>
    <row r="142">
      <c r="A142" s="1" t="inlineStr">
        <is>
          <t xml:space="preserve">Pintura </t>
        </is>
      </c>
      <c r="B142" s="1" t="inlineStr">
        <is>
          <t>Lacador</t>
        </is>
      </c>
      <c r="C142" s="1" t="inlineStr">
        <is>
          <t>Blanco Negro</t>
        </is>
      </c>
      <c r="D142" s="1" t="inlineStr">
        <is>
          <t xml:space="preserve">Mueble montado </t>
        </is>
      </c>
      <c r="E142" s="4" t="inlineStr">
        <is>
          <t>*New</t>
        </is>
      </c>
      <c r="F142" s="119" t="n">
        <v>0</v>
      </c>
      <c r="G142" s="119" t="n">
        <v>0</v>
      </c>
      <c r="H142" s="119" t="n">
        <v>0</v>
      </c>
      <c r="I142" s="5">
        <f>F142*G142*H142</f>
        <v/>
      </c>
      <c r="J142" s="6" t="n">
        <v>0</v>
      </c>
      <c r="K142" s="10" t="n">
        <v>540</v>
      </c>
      <c r="L142" s="188">
        <f>IFERROR(ROUNDUP((Q142/I142)/0.5,0)*0.5,0)</f>
        <v/>
      </c>
      <c r="M142" s="5">
        <f>IF(I142=0,J142*K142,I142*J142*K142)</f>
        <v/>
      </c>
      <c r="N142" s="38">
        <f>$N$111</f>
        <v/>
      </c>
      <c r="O142" s="39">
        <f>SUM(M142*N142)+M142</f>
        <v/>
      </c>
      <c r="P142" s="5">
        <f>SUM(O142-M142)</f>
        <v/>
      </c>
      <c r="Q142" s="128">
        <f>R142+S142</f>
        <v/>
      </c>
      <c r="R142" s="115" t="n"/>
      <c r="S142" s="126">
        <f>SUM(T142:AU142)</f>
        <v/>
      </c>
      <c r="T142" s="129">
        <f>(((F142*H142)+((F142*G142)*3)+((G142*H142)*2))*2)*COSTE!$G$89</f>
        <v/>
      </c>
      <c r="U142" s="129">
        <f>J142*(2*COSTE!$G$4)</f>
        <v/>
      </c>
      <c r="V142" s="112" t="n"/>
      <c r="W142" s="112" t="n"/>
      <c r="X142" s="112" t="n"/>
      <c r="Y142" s="112" t="n"/>
      <c r="Z142" s="112" t="n"/>
      <c r="AA142" s="115" t="n"/>
      <c r="AB142" s="115" t="n"/>
      <c r="AC142" s="112" t="n"/>
      <c r="AD142" s="112" t="n"/>
      <c r="AE142" s="112" t="n"/>
      <c r="AF142" s="112" t="n"/>
      <c r="AG142" s="112" t="n"/>
      <c r="AH142" s="112" t="n"/>
      <c r="AI142" s="112" t="n"/>
    </row>
    <row r="143">
      <c r="A143" s="1" t="inlineStr">
        <is>
          <t xml:space="preserve">Pintura </t>
        </is>
      </c>
      <c r="B143" s="1" t="inlineStr">
        <is>
          <t>Lacador</t>
        </is>
      </c>
      <c r="C143" s="1" t="inlineStr">
        <is>
          <t>Color</t>
        </is>
      </c>
      <c r="D143" s="1" t="inlineStr">
        <is>
          <t xml:space="preserve">Mueble montado </t>
        </is>
      </c>
      <c r="E143" s="4" t="inlineStr">
        <is>
          <t>*New</t>
        </is>
      </c>
      <c r="F143" s="119" t="n">
        <v>0</v>
      </c>
      <c r="G143" s="119" t="n">
        <v>0</v>
      </c>
      <c r="H143" s="119" t="n">
        <v>0</v>
      </c>
      <c r="I143" s="5">
        <f>F143*G143*H143</f>
        <v/>
      </c>
      <c r="J143" s="6" t="n">
        <v>0</v>
      </c>
      <c r="K143" s="10" t="n">
        <v>540</v>
      </c>
      <c r="L143" s="188">
        <f>IFERROR(ROUNDUP((Q143/I143)/0.5,0)*0.5,0)</f>
        <v/>
      </c>
      <c r="M143" s="5">
        <f>IF(I143=0,J143*K143,I143*J143*K143)</f>
        <v/>
      </c>
      <c r="N143" s="38">
        <f>$N$111</f>
        <v/>
      </c>
      <c r="O143" s="39">
        <f>SUM(M143*N143)+M143</f>
        <v/>
      </c>
      <c r="P143" s="5">
        <f>SUM(O143-M143)</f>
        <v/>
      </c>
      <c r="Q143" s="128">
        <f>R143+S143</f>
        <v/>
      </c>
      <c r="R143" s="115" t="n"/>
      <c r="S143" s="126">
        <f>SUM(T143:AU143)</f>
        <v/>
      </c>
      <c r="T143" s="129">
        <f>(((F143*H143)+((F143*G143)*3)+((G143*H143)*2))*2)*COSTE!$G$90</f>
        <v/>
      </c>
      <c r="U143" s="129">
        <f>J143*(2*COSTE!$G$4)</f>
        <v/>
      </c>
      <c r="V143" s="112" t="n"/>
      <c r="W143" s="112" t="n"/>
      <c r="X143" s="112" t="n"/>
      <c r="Y143" s="112" t="n"/>
      <c r="Z143" s="112" t="n"/>
      <c r="AA143" s="115" t="n"/>
      <c r="AB143" s="115" t="n"/>
      <c r="AC143" s="112" t="n"/>
      <c r="AD143" s="112" t="n"/>
      <c r="AE143" s="112" t="n"/>
      <c r="AF143" s="112" t="n"/>
      <c r="AG143" s="112" t="n"/>
      <c r="AH143" s="112" t="n"/>
      <c r="AI143" s="112" t="n"/>
    </row>
    <row r="144" customFormat="1" s="191">
      <c r="A144" s="22" t="n"/>
      <c r="B144" s="22" t="n"/>
      <c r="C144" s="22" t="n"/>
      <c r="D144" s="22" t="n"/>
      <c r="E144" s="22" t="n"/>
      <c r="F144" s="8" t="n"/>
      <c r="G144" s="8" t="n"/>
      <c r="H144" s="8" t="n"/>
      <c r="I144" s="8" t="n"/>
      <c r="J144" s="8" t="n"/>
      <c r="K144" s="8" t="inlineStr">
        <is>
          <t>TOTAL LACADOR / HERRERO</t>
        </is>
      </c>
      <c r="L144" s="144" t="n"/>
      <c r="M144" s="9">
        <f>SUM(M134:M143)</f>
        <v/>
      </c>
      <c r="N144" s="18">
        <f>$N$2</f>
        <v/>
      </c>
      <c r="O144" s="9">
        <f>SUM(O134:O143)</f>
        <v/>
      </c>
      <c r="P144" s="9">
        <f>SUM(P134:P143)</f>
        <v/>
      </c>
      <c r="Q144" s="9">
        <f>SUM(Q133:Q143)</f>
        <v/>
      </c>
      <c r="R144" s="9" t="n"/>
      <c r="S144" s="9">
        <f>SUM(S133:S143)</f>
        <v/>
      </c>
      <c r="T144" s="131" t="n"/>
      <c r="U144" s="131" t="n"/>
      <c r="V144" s="131" t="n"/>
      <c r="W144" s="131" t="n"/>
      <c r="X144" s="131" t="n"/>
      <c r="Y144" s="131" t="n"/>
      <c r="Z144" s="131" t="n"/>
      <c r="AA144" s="131" t="n"/>
      <c r="AB144" s="131" t="n"/>
      <c r="AC144" s="131" t="n"/>
      <c r="AD144" s="131" t="n"/>
      <c r="AE144" s="131" t="n"/>
      <c r="AF144" s="131" t="n"/>
      <c r="AG144" s="131" t="n"/>
      <c r="AH144" s="131" t="n"/>
      <c r="AI144" s="131" t="n"/>
    </row>
    <row r="145" hidden="1" s="192">
      <c r="A145" s="1" t="n"/>
      <c r="B145" s="1" t="n"/>
      <c r="C145" s="1" t="n"/>
      <c r="D145" s="1" t="inlineStr">
        <is>
          <t>Container reciclado Feria</t>
        </is>
      </c>
      <c r="E145" s="4" t="inlineStr">
        <is>
          <t>Consultar Precio</t>
        </is>
      </c>
      <c r="F145" s="26" t="n"/>
      <c r="G145" s="26" t="n"/>
      <c r="H145" s="26" t="n"/>
      <c r="I145" s="26" t="n"/>
      <c r="J145" s="6" t="n">
        <v>0</v>
      </c>
      <c r="K145" s="132" t="n"/>
      <c r="L145" s="143">
        <f>ROUNDUP((Q145/I145)/0.5,0)*0.5</f>
        <v/>
      </c>
      <c r="M145" s="5">
        <f>+J145*K145</f>
        <v/>
      </c>
      <c r="N145" s="38">
        <f>$N$146</f>
        <v/>
      </c>
      <c r="O145" s="39">
        <f>SUM(M145*N145)+M145</f>
        <v/>
      </c>
      <c r="P145" s="5">
        <f>SUM(O145-M145)</f>
        <v/>
      </c>
      <c r="Q145" s="24" t="n"/>
      <c r="R145" s="138" t="n"/>
      <c r="S145" s="151" t="n"/>
      <c r="T145" s="129" t="n"/>
      <c r="U145" s="129" t="n"/>
      <c r="V145" s="129" t="n"/>
      <c r="W145" s="129" t="n"/>
      <c r="X145" s="129" t="n"/>
      <c r="Y145" s="129" t="n"/>
      <c r="Z145" s="129" t="n"/>
      <c r="AA145" s="129" t="n"/>
      <c r="AB145" s="129" t="n"/>
      <c r="AC145" s="129" t="n"/>
      <c r="AD145" s="129" t="n"/>
      <c r="AE145" s="129" t="n"/>
      <c r="AF145" s="129" t="n"/>
      <c r="AG145" s="129" t="n"/>
      <c r="AH145" s="129" t="n"/>
      <c r="AI145" s="129" t="n"/>
    </row>
    <row r="146" hidden="1" customFormat="1" s="191">
      <c r="A146" s="22" t="n"/>
      <c r="B146" s="22" t="n"/>
      <c r="C146" s="22" t="n"/>
      <c r="D146" s="22" t="n"/>
      <c r="E146" s="22" t="n"/>
      <c r="F146" s="8" t="n"/>
      <c r="G146" s="8" t="n"/>
      <c r="H146" s="8" t="n"/>
      <c r="I146" s="8" t="n"/>
      <c r="J146" s="8" t="n"/>
      <c r="K146" s="8" t="inlineStr">
        <is>
          <t>TOTAL LIMPIEZA</t>
        </is>
      </c>
      <c r="L146" s="144" t="n"/>
      <c r="M146" s="9">
        <f>SUM(M145:M145)</f>
        <v/>
      </c>
      <c r="N146" s="18">
        <f>$N$2</f>
        <v/>
      </c>
      <c r="O146" s="9">
        <f>SUM(O145:O145)</f>
        <v/>
      </c>
      <c r="P146" s="9">
        <f>SUM(P145:P145)</f>
        <v/>
      </c>
      <c r="Q146" s="130" t="n"/>
      <c r="R146" s="148" t="n"/>
      <c r="S146" s="149" t="n"/>
      <c r="T146" s="150" t="n"/>
      <c r="U146" s="150" t="n"/>
      <c r="V146" s="150" t="n"/>
      <c r="W146" s="150" t="n"/>
      <c r="X146" s="150" t="n"/>
      <c r="Y146" s="150" t="n"/>
      <c r="Z146" s="150" t="n"/>
      <c r="AA146" s="150" t="n"/>
      <c r="AB146" s="150" t="n"/>
      <c r="AC146" s="150" t="n"/>
      <c r="AD146" s="150" t="n"/>
      <c r="AE146" s="150" t="n"/>
      <c r="AF146" s="150" t="n"/>
      <c r="AG146" s="150" t="n"/>
      <c r="AH146" s="150" t="n"/>
      <c r="AI146" s="150" t="n"/>
    </row>
    <row r="147" hidden="1" s="192">
      <c r="A147" s="1" t="n"/>
      <c r="B147" s="1" t="n"/>
      <c r="C147" s="1" t="n"/>
      <c r="D147" s="1" t="inlineStr">
        <is>
          <t>puntos rigging</t>
        </is>
      </c>
      <c r="E147" s="4" t="inlineStr">
        <is>
          <t>Poner Precios</t>
        </is>
      </c>
      <c r="F147" s="26" t="n"/>
      <c r="G147" s="26" t="n"/>
      <c r="H147" s="26" t="n"/>
      <c r="I147" s="26" t="n"/>
      <c r="J147" s="6" t="n">
        <v>0</v>
      </c>
      <c r="K147" s="132" t="n">
        <v>0</v>
      </c>
      <c r="L147" s="143">
        <f>ROUNDUP((Q147/I147)/0.5,0)*0.5</f>
        <v/>
      </c>
      <c r="M147" s="5">
        <f>+J147*K147</f>
        <v/>
      </c>
      <c r="N147" s="38">
        <f>$N$151</f>
        <v/>
      </c>
      <c r="O147" s="39">
        <f>SUM(M147*N147)+M147</f>
        <v/>
      </c>
      <c r="P147" s="5">
        <f>SUM(O147-M147)</f>
        <v/>
      </c>
      <c r="Q147" s="24" t="n"/>
      <c r="R147" s="138" t="n"/>
      <c r="S147" s="151" t="n"/>
      <c r="T147" s="129" t="n"/>
      <c r="U147" s="129" t="n"/>
      <c r="V147" s="129" t="n"/>
      <c r="W147" s="129" t="n"/>
      <c r="X147" s="129" t="n"/>
      <c r="Y147" s="129" t="n"/>
      <c r="Z147" s="129" t="n"/>
      <c r="AA147" s="129" t="n"/>
      <c r="AB147" s="129" t="n"/>
      <c r="AC147" s="129" t="n"/>
      <c r="AD147" s="129" t="n"/>
      <c r="AE147" s="129" t="n"/>
      <c r="AF147" s="129" t="n"/>
      <c r="AG147" s="129" t="n"/>
      <c r="AH147" s="129" t="n"/>
      <c r="AI147" s="129" t="n"/>
    </row>
    <row r="148" hidden="1" s="192">
      <c r="A148" s="1" t="n"/>
      <c r="B148" s="1" t="n"/>
      <c r="C148" s="1" t="n"/>
      <c r="D148" s="1" t="inlineStr">
        <is>
          <t>Personal Mantenimiento</t>
        </is>
      </c>
      <c r="E148" s="4" t="inlineStr">
        <is>
          <t>Poner Precios</t>
        </is>
      </c>
      <c r="F148" s="26" t="n"/>
      <c r="G148" s="26" t="n"/>
      <c r="H148" s="26" t="n"/>
      <c r="I148" s="26" t="n"/>
      <c r="J148" s="6" t="n">
        <v>0</v>
      </c>
      <c r="K148" s="132" t="n">
        <v>0</v>
      </c>
      <c r="L148" s="143">
        <f>ROUNDUP((Q148/I148)/0.5,0)*0.5</f>
        <v/>
      </c>
      <c r="M148" s="5">
        <f>+J148*K148</f>
        <v/>
      </c>
      <c r="N148" s="38">
        <f>$N$151</f>
        <v/>
      </c>
      <c r="O148" s="39">
        <f>SUM(M148*N148)+M148</f>
        <v/>
      </c>
      <c r="P148" s="5">
        <f>SUM(O148-M148)</f>
        <v/>
      </c>
      <c r="Q148" s="24" t="n"/>
      <c r="R148" s="138" t="n"/>
      <c r="S148" s="151" t="n"/>
      <c r="T148" s="129" t="n"/>
      <c r="U148" s="129" t="n"/>
      <c r="V148" s="129" t="n"/>
      <c r="W148" s="129" t="n"/>
      <c r="X148" s="129" t="n"/>
      <c r="Y148" s="129" t="n"/>
      <c r="Z148" s="129" t="n"/>
      <c r="AA148" s="129" t="n"/>
      <c r="AB148" s="129" t="n"/>
      <c r="AC148" s="129" t="n"/>
      <c r="AD148" s="129" t="n"/>
      <c r="AE148" s="129" t="n"/>
      <c r="AF148" s="129" t="n"/>
      <c r="AG148" s="129" t="n"/>
      <c r="AH148" s="129" t="n"/>
      <c r="AI148" s="129" t="n"/>
    </row>
    <row r="149" hidden="1" s="192">
      <c r="A149" s="1" t="n"/>
      <c r="B149" s="1" t="n"/>
      <c r="C149" s="1" t="n"/>
      <c r="D149" s="1" t="inlineStr">
        <is>
          <t>Transporte /camión</t>
        </is>
      </c>
      <c r="E149" s="4" t="inlineStr">
        <is>
          <t>Poner Precios</t>
        </is>
      </c>
      <c r="F149" s="26" t="n"/>
      <c r="G149" s="26" t="n"/>
      <c r="H149" s="26" t="n"/>
      <c r="I149" s="26" t="n"/>
      <c r="J149" s="6" t="n">
        <v>0</v>
      </c>
      <c r="K149" s="132" t="n">
        <v>0</v>
      </c>
      <c r="L149" s="143">
        <f>ROUNDUP((Q149/I149)/0.5,0)*0.5</f>
        <v/>
      </c>
      <c r="M149" s="5">
        <f>+J149*K149</f>
        <v/>
      </c>
      <c r="N149" s="38">
        <f>$N$151</f>
        <v/>
      </c>
      <c r="O149" s="39">
        <f>SUM(M149*N149)+M149</f>
        <v/>
      </c>
      <c r="P149" s="5">
        <f>SUM(O149-M149)</f>
        <v/>
      </c>
      <c r="Q149" s="24" t="n"/>
      <c r="R149" s="138" t="n"/>
      <c r="S149" s="151" t="n"/>
      <c r="T149" s="129" t="n"/>
      <c r="U149" s="129" t="n"/>
      <c r="V149" s="129" t="n"/>
      <c r="W149" s="129" t="n"/>
      <c r="X149" s="129" t="n"/>
      <c r="Y149" s="129" t="n"/>
      <c r="Z149" s="129" t="n"/>
      <c r="AA149" s="129" t="n"/>
      <c r="AB149" s="129" t="n"/>
      <c r="AC149" s="129" t="n"/>
      <c r="AD149" s="129" t="n"/>
      <c r="AE149" s="129" t="n"/>
      <c r="AF149" s="129" t="n"/>
      <c r="AG149" s="129" t="n"/>
      <c r="AH149" s="129" t="n"/>
      <c r="AI149" s="129" t="n"/>
    </row>
    <row r="150" hidden="1" s="192">
      <c r="A150" s="1" t="n"/>
      <c r="B150" s="1" t="n"/>
      <c r="C150" s="1" t="n"/>
      <c r="D150" s="1" t="inlineStr">
        <is>
          <t>Toros</t>
        </is>
      </c>
      <c r="E150" s="4" t="inlineStr">
        <is>
          <t>Poner Precios</t>
        </is>
      </c>
      <c r="F150" s="26" t="n"/>
      <c r="G150" s="26" t="n"/>
      <c r="H150" s="26" t="n"/>
      <c r="I150" s="26" t="n"/>
      <c r="J150" s="6" t="n">
        <v>0</v>
      </c>
      <c r="K150" s="132" t="n">
        <v>0</v>
      </c>
      <c r="L150" s="143">
        <f>ROUNDUP((Q150/I150)/0.5,0)*0.5</f>
        <v/>
      </c>
      <c r="M150" s="5">
        <f>+J150*K150</f>
        <v/>
      </c>
      <c r="N150" s="38">
        <f>$N$151</f>
        <v/>
      </c>
      <c r="O150" s="39">
        <f>SUM(M150*N150)+M150</f>
        <v/>
      </c>
      <c r="P150" s="5">
        <f>SUM(O150-M150)</f>
        <v/>
      </c>
      <c r="Q150" s="24" t="n"/>
      <c r="R150" s="138" t="n"/>
      <c r="S150" s="151" t="n"/>
      <c r="T150" s="129" t="n"/>
      <c r="U150" s="129" t="n"/>
      <c r="V150" s="129" t="n"/>
      <c r="W150" s="129" t="n"/>
      <c r="X150" s="129" t="n"/>
      <c r="Y150" s="129" t="n"/>
      <c r="Z150" s="129" t="n"/>
      <c r="AA150" s="129" t="n"/>
      <c r="AB150" s="129" t="n"/>
      <c r="AC150" s="129" t="n"/>
      <c r="AD150" s="129" t="n"/>
      <c r="AE150" s="129" t="n"/>
      <c r="AF150" s="129" t="n"/>
      <c r="AG150" s="129" t="n"/>
      <c r="AH150" s="129" t="n"/>
      <c r="AI150" s="129" t="n"/>
    </row>
    <row r="151" hidden="1" customFormat="1" s="191">
      <c r="A151" s="22" t="n"/>
      <c r="B151" s="22" t="n"/>
      <c r="C151" s="22" t="n"/>
      <c r="D151" s="22" t="n"/>
      <c r="E151" s="22" t="n"/>
      <c r="F151" s="8" t="n"/>
      <c r="G151" s="8" t="n"/>
      <c r="H151" s="8" t="n"/>
      <c r="I151" s="8" t="n"/>
      <c r="J151" s="8" t="n"/>
      <c r="K151" s="8" t="inlineStr">
        <is>
          <t>TOTAL VARIOS</t>
        </is>
      </c>
      <c r="L151" s="144" t="n"/>
      <c r="M151" s="9">
        <f>SUM(M147:M150)</f>
        <v/>
      </c>
      <c r="N151" s="18">
        <f>$N$2</f>
        <v/>
      </c>
      <c r="O151" s="9">
        <f>SUM(O147:O150)</f>
        <v/>
      </c>
      <c r="P151" s="9">
        <f>SUM(P147:P150)</f>
        <v/>
      </c>
      <c r="Q151" s="130" t="n"/>
      <c r="R151" s="148" t="n"/>
      <c r="S151" s="149" t="n"/>
      <c r="T151" s="150" t="n"/>
      <c r="U151" s="150" t="n"/>
      <c r="V151" s="150" t="n"/>
      <c r="W151" s="150" t="n"/>
      <c r="X151" s="150" t="n"/>
      <c r="Y151" s="150" t="n"/>
      <c r="Z151" s="150" t="n"/>
      <c r="AA151" s="150" t="n"/>
      <c r="AB151" s="150" t="n"/>
      <c r="AC151" s="150" t="n"/>
      <c r="AD151" s="150" t="n"/>
      <c r="AE151" s="150" t="n"/>
      <c r="AF151" s="150" t="n"/>
      <c r="AG151" s="150" t="n"/>
      <c r="AH151" s="150" t="n"/>
      <c r="AI151" s="150" t="n"/>
    </row>
    <row r="152">
      <c r="A152" s="104" t="inlineStr">
        <is>
          <t>FAMILIA</t>
        </is>
      </c>
      <c r="B152" s="104" t="inlineStr">
        <is>
          <t>SUB F.</t>
        </is>
      </c>
      <c r="C152" s="104" t="inlineStr">
        <is>
          <t>MATERIAL</t>
        </is>
      </c>
      <c r="D152" s="100" t="inlineStr">
        <is>
          <t>LOGISTICA</t>
        </is>
      </c>
      <c r="E152" s="100" t="inlineStr">
        <is>
          <t>COMENTARIOS</t>
        </is>
      </c>
      <c r="F152" s="99" t="inlineStr">
        <is>
          <t>Km</t>
        </is>
      </c>
      <c r="G152" s="99" t="inlineStr">
        <is>
          <t>Personas</t>
        </is>
      </c>
      <c r="H152" s="99" t="n"/>
      <c r="I152" s="101" t="n"/>
      <c r="J152" s="106" t="inlineStr">
        <is>
          <t>Viaje</t>
        </is>
      </c>
      <c r="K152" s="101" t="inlineStr">
        <is>
          <t>€/Viaje</t>
        </is>
      </c>
      <c r="L152" s="142" t="inlineStr">
        <is>
          <t>€/Viaje Real</t>
        </is>
      </c>
      <c r="M152" s="101" t="inlineStr">
        <is>
          <t>€/Empresa</t>
        </is>
      </c>
      <c r="N152" s="102" t="inlineStr">
        <is>
          <t>Markup %</t>
        </is>
      </c>
      <c r="O152" s="101" t="inlineStr">
        <is>
          <t>€ TOTAL</t>
        </is>
      </c>
      <c r="P152" s="101" t="inlineStr">
        <is>
          <t>BEN.EMP</t>
        </is>
      </c>
      <c r="Q152" s="122" t="inlineStr">
        <is>
          <t>COSTE TOT</t>
        </is>
      </c>
      <c r="R152" s="136" t="inlineStr">
        <is>
          <t xml:space="preserve">Diseño </t>
        </is>
      </c>
      <c r="S152" s="109" t="inlineStr">
        <is>
          <t xml:space="preserve">COSTE </t>
        </is>
      </c>
      <c r="T152" s="110" t="inlineStr">
        <is>
          <t>Viaje</t>
        </is>
      </c>
      <c r="U152" s="110" t="inlineStr">
        <is>
          <t xml:space="preserve">Personal Carga </t>
        </is>
      </c>
      <c r="V152" s="161" t="n"/>
      <c r="W152" s="168" t="n"/>
      <c r="X152" s="161" t="n"/>
      <c r="Y152" s="161" t="n"/>
      <c r="Z152" s="161" t="n"/>
      <c r="AA152" s="168" t="n"/>
      <c r="AB152" s="168" t="n"/>
      <c r="AC152" s="112" t="n"/>
      <c r="AD152" s="161" t="n"/>
      <c r="AE152" s="112" t="n"/>
      <c r="AF152" s="112" t="n"/>
      <c r="AG152" s="112" t="n"/>
      <c r="AH152" s="112" t="n"/>
      <c r="AI152" s="112" t="n"/>
    </row>
    <row r="153">
      <c r="A153" s="1" t="inlineStr">
        <is>
          <t>Log. y Per.</t>
        </is>
      </c>
      <c r="B153" s="1" t="inlineStr">
        <is>
          <t>Transporte</t>
        </is>
      </c>
      <c r="C153" s="1" t="n"/>
      <c r="D153" s="1" t="inlineStr">
        <is>
          <t>Trailer BCN</t>
        </is>
      </c>
      <c r="E153" s="4" t="n"/>
      <c r="F153" s="26" t="n"/>
      <c r="G153" s="26" t="n"/>
      <c r="H153" s="26" t="n"/>
      <c r="I153" s="26" t="n"/>
      <c r="J153" s="6" t="n">
        <v>0</v>
      </c>
      <c r="K153" s="19" t="n">
        <v>450</v>
      </c>
      <c r="L153" s="188">
        <f>IFERROR(ROUNDUP((Q153/J153)/0.5,0)*0.5,0)</f>
        <v/>
      </c>
      <c r="M153" s="5">
        <f>IF(I153=0,J153*K153,I153*J153*K153)</f>
        <v/>
      </c>
      <c r="N153" s="38">
        <f>$N$169</f>
        <v/>
      </c>
      <c r="O153" s="39">
        <f>SUM(M153*N153)+M153</f>
        <v/>
      </c>
      <c r="P153" s="5">
        <f>SUM(O153-M153)</f>
        <v/>
      </c>
      <c r="Q153" s="128">
        <f>R153+S153</f>
        <v/>
      </c>
      <c r="R153" s="115" t="n"/>
      <c r="S153" s="126">
        <f>SUM(T153:AU153)</f>
        <v/>
      </c>
      <c r="T153" s="129">
        <f>J153*COSTE!$G$69</f>
        <v/>
      </c>
      <c r="U153" s="129">
        <f>J153*(2*(2*COSTE!$G$5))</f>
        <v/>
      </c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</row>
    <row r="154">
      <c r="A154" s="1" t="inlineStr">
        <is>
          <t>Log. y Per.</t>
        </is>
      </c>
      <c r="B154" s="1" t="inlineStr">
        <is>
          <t>Transporte</t>
        </is>
      </c>
      <c r="C154" s="1" t="n"/>
      <c r="D154" s="1" t="inlineStr">
        <is>
          <t>1/2 Trailer BCN</t>
        </is>
      </c>
      <c r="E154" s="4" t="n"/>
      <c r="F154" s="26" t="n"/>
      <c r="G154" s="26" t="n"/>
      <c r="H154" s="26" t="n"/>
      <c r="I154" s="26" t="n"/>
      <c r="J154" s="6" t="n">
        <v>0</v>
      </c>
      <c r="K154" s="19" t="n">
        <v>400</v>
      </c>
      <c r="L154" s="188">
        <f>IFERROR(ROUNDUP((Q154/J154)/0.5,0)*0.5,0)</f>
        <v/>
      </c>
      <c r="M154" s="5">
        <f>IF(I154=0,J154*K154,I154*J154*K154)</f>
        <v/>
      </c>
      <c r="N154" s="38">
        <f>$N$169</f>
        <v/>
      </c>
      <c r="O154" s="39">
        <f>SUM(M154*N154)+M154</f>
        <v/>
      </c>
      <c r="P154" s="5">
        <f>SUM(O154-M154)</f>
        <v/>
      </c>
      <c r="Q154" s="128">
        <f>R154+S154</f>
        <v/>
      </c>
      <c r="R154" s="115" t="n"/>
      <c r="S154" s="126">
        <f>SUM(T154:AU154)</f>
        <v/>
      </c>
      <c r="T154" s="129">
        <f>J154*COSTE!$G$70</f>
        <v/>
      </c>
      <c r="U154" s="129">
        <f>J154*(1*(2*COSTE!$G$5))</f>
        <v/>
      </c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</row>
    <row r="155">
      <c r="A155" s="1" t="inlineStr">
        <is>
          <t>Log. y Per.</t>
        </is>
      </c>
      <c r="B155" s="1" t="inlineStr">
        <is>
          <t>Transporte</t>
        </is>
      </c>
      <c r="C155" s="1" t="n"/>
      <c r="D155" s="1" t="inlineStr">
        <is>
          <t>Trailer Madrid</t>
        </is>
      </c>
      <c r="E155" s="4" t="n"/>
      <c r="F155" s="26" t="n"/>
      <c r="G155" s="26" t="n"/>
      <c r="H155" s="26" t="n"/>
      <c r="I155" s="26" t="n"/>
      <c r="J155" s="6" t="n">
        <v>0</v>
      </c>
      <c r="K155" s="19" t="n">
        <v>750</v>
      </c>
      <c r="L155" s="188">
        <f>IFERROR(ROUNDUP((Q155/J155)/0.5,0)*0.5,0)</f>
        <v/>
      </c>
      <c r="M155" s="5">
        <f>IF(I155=0,J155*K155,I155*J155*K155)</f>
        <v/>
      </c>
      <c r="N155" s="38">
        <f>$N$169</f>
        <v/>
      </c>
      <c r="O155" s="39">
        <f>SUM(M155*N155)+M155</f>
        <v/>
      </c>
      <c r="P155" s="5">
        <f>SUM(O155-M155)</f>
        <v/>
      </c>
      <c r="Q155" s="128">
        <f>R155+S155</f>
        <v/>
      </c>
      <c r="R155" s="115" t="n"/>
      <c r="S155" s="126">
        <f>SUM(T155:AU155)</f>
        <v/>
      </c>
      <c r="T155" s="129">
        <f>J155*COSTE!$G$71</f>
        <v/>
      </c>
      <c r="U155" s="129">
        <f>J155*(2*(2*COSTE!$G$5))</f>
        <v/>
      </c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</row>
    <row r="156">
      <c r="A156" s="1" t="inlineStr">
        <is>
          <t>Log. y Per.</t>
        </is>
      </c>
      <c r="B156" s="1" t="inlineStr">
        <is>
          <t>Transporte</t>
        </is>
      </c>
      <c r="C156" s="1" t="n"/>
      <c r="D156" s="1" t="inlineStr">
        <is>
          <t>1/2 Trailer Vigo</t>
        </is>
      </c>
      <c r="E156" s="4" t="n"/>
      <c r="F156" s="26" t="n"/>
      <c r="G156" s="26" t="n"/>
      <c r="H156" s="26" t="n"/>
      <c r="I156" s="26" t="n"/>
      <c r="J156" s="6" t="n">
        <v>0</v>
      </c>
      <c r="K156" s="19" t="n">
        <v>750</v>
      </c>
      <c r="L156" s="188">
        <f>IFERROR(ROUNDUP((Q156/J156)/0.5,0)*0.5,0)</f>
        <v/>
      </c>
      <c r="M156" s="5">
        <f>IF(I156=0,J156*K156,I156*J156*K156)</f>
        <v/>
      </c>
      <c r="N156" s="38">
        <f>$N$169</f>
        <v/>
      </c>
      <c r="O156" s="39">
        <f>SUM(M156*N156)+M156</f>
        <v/>
      </c>
      <c r="P156" s="5">
        <f>SUM(O156-M156)</f>
        <v/>
      </c>
      <c r="Q156" s="128">
        <f>R156+S156</f>
        <v/>
      </c>
      <c r="R156" s="115" t="n"/>
      <c r="S156" s="126">
        <f>SUM(T156:AU156)</f>
        <v/>
      </c>
      <c r="T156" s="129">
        <f>J156*COSTE!$G$72</f>
        <v/>
      </c>
      <c r="U156" s="129">
        <f>J156*(1*(2*COSTE!$G$5))</f>
        <v/>
      </c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</row>
    <row r="157">
      <c r="A157" s="1" t="inlineStr">
        <is>
          <t>Log. y Per.</t>
        </is>
      </c>
      <c r="B157" s="1" t="inlineStr">
        <is>
          <t>Transporte</t>
        </is>
      </c>
      <c r="C157" s="1" t="n"/>
      <c r="D157" s="1" t="inlineStr">
        <is>
          <t>Trailer Vigo</t>
        </is>
      </c>
      <c r="E157" s="4" t="n"/>
      <c r="F157" s="26" t="n"/>
      <c r="G157" s="26" t="n"/>
      <c r="H157" s="26" t="n"/>
      <c r="I157" s="26" t="n"/>
      <c r="J157" s="6" t="n">
        <v>0</v>
      </c>
      <c r="K157" s="19" t="n">
        <v>750</v>
      </c>
      <c r="L157" s="188">
        <f>IFERROR(ROUNDUP((Q157/J157)/0.5,0)*0.5,0)</f>
        <v/>
      </c>
      <c r="M157" s="5">
        <f>IF(I157=0,J157*K157,I157*J157*K157)</f>
        <v/>
      </c>
      <c r="N157" s="38">
        <f>$N$169</f>
        <v/>
      </c>
      <c r="O157" s="39">
        <f>SUM(M157*N157)+M157</f>
        <v/>
      </c>
      <c r="P157" s="5">
        <f>SUM(O157-M157)</f>
        <v/>
      </c>
      <c r="Q157" s="128">
        <f>R157+S157</f>
        <v/>
      </c>
      <c r="R157" s="115" t="n"/>
      <c r="S157" s="126">
        <f>SUM(T157:AU157)</f>
        <v/>
      </c>
      <c r="T157" s="129">
        <f>J157*COSTE!$G$73</f>
        <v/>
      </c>
      <c r="U157" s="129">
        <f>J157*(2*(2*COSTE!$G$5))</f>
        <v/>
      </c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</row>
    <row r="158">
      <c r="A158" s="1" t="inlineStr">
        <is>
          <t>Log. y Per.</t>
        </is>
      </c>
      <c r="B158" s="1" t="inlineStr">
        <is>
          <t>Transporte</t>
        </is>
      </c>
      <c r="C158" s="1" t="n"/>
      <c r="D158" s="1" t="inlineStr">
        <is>
          <t>Trailer Londres</t>
        </is>
      </c>
      <c r="E158" s="4" t="n"/>
      <c r="F158" s="26" t="n"/>
      <c r="G158" s="26" t="n"/>
      <c r="H158" s="26" t="n"/>
      <c r="I158" s="26" t="n"/>
      <c r="J158" s="6" t="n">
        <v>0</v>
      </c>
      <c r="K158" s="19" t="n">
        <v>750</v>
      </c>
      <c r="L158" s="188">
        <f>IFERROR(ROUNDUP((Q158/J158)/0.5,0)*0.5,0)</f>
        <v/>
      </c>
      <c r="M158" s="5">
        <f>IF(I158=0,J158*K158,I158*J158*K158)</f>
        <v/>
      </c>
      <c r="N158" s="38">
        <f>$N$169</f>
        <v/>
      </c>
      <c r="O158" s="39">
        <f>SUM(M158*N158)+M158</f>
        <v/>
      </c>
      <c r="P158" s="5">
        <f>SUM(O158-M158)</f>
        <v/>
      </c>
      <c r="Q158" s="128">
        <f>R158+S158</f>
        <v/>
      </c>
      <c r="R158" s="115" t="n"/>
      <c r="S158" s="126">
        <f>SUM(T158:AU158)</f>
        <v/>
      </c>
      <c r="T158" s="129">
        <f>J158*COSTE!$G$75</f>
        <v/>
      </c>
      <c r="U158" s="129">
        <f>J158*(2*(2*COSTE!$G$5))</f>
        <v/>
      </c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</row>
    <row r="159">
      <c r="A159" s="1" t="inlineStr">
        <is>
          <t>Log. y Per.</t>
        </is>
      </c>
      <c r="B159" s="1" t="inlineStr">
        <is>
          <t>Transporte</t>
        </is>
      </c>
      <c r="C159" s="1" t="n"/>
      <c r="D159" s="1" t="inlineStr">
        <is>
          <t>Furgoneta ESWood (2 personas)</t>
        </is>
      </c>
      <c r="E159" s="4" t="n"/>
      <c r="F159" s="119" t="n">
        <v>0</v>
      </c>
      <c r="G159" s="119" t="n">
        <v>0</v>
      </c>
      <c r="H159" s="26" t="n"/>
      <c r="I159" s="26" t="n"/>
      <c r="J159" s="6" t="n">
        <v>0</v>
      </c>
      <c r="K159" s="19" t="n">
        <v>150</v>
      </c>
      <c r="L159" s="188">
        <f>IFERROR(ROUNDUP((Q159/J159)/0.5,0)*0.5,0)</f>
        <v/>
      </c>
      <c r="M159" s="5">
        <f>IF(I159=0,J159*K159,I159*J159*K159)</f>
        <v/>
      </c>
      <c r="N159" s="38">
        <f>$N$169</f>
        <v/>
      </c>
      <c r="O159" s="39">
        <f>SUM(M159*N159)+M159</f>
        <v/>
      </c>
      <c r="P159" s="5">
        <f>SUM(O159-M159)</f>
        <v/>
      </c>
      <c r="Q159" s="128">
        <f>R159+S159</f>
        <v/>
      </c>
      <c r="R159" s="115" t="n"/>
      <c r="S159" s="126">
        <f>SUM(T159:AU159)</f>
        <v/>
      </c>
      <c r="T159" s="129">
        <f>(F159*0.45)+(((F159/50)*COSTE!$G$5)*G159)</f>
        <v/>
      </c>
      <c r="U159" s="129">
        <f>J159*(1*(2*COSTE!$G$5))</f>
        <v/>
      </c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</row>
    <row r="160">
      <c r="A160" s="1" t="inlineStr">
        <is>
          <t>Log. y Per.</t>
        </is>
      </c>
      <c r="B160" s="1" t="inlineStr">
        <is>
          <t>Toro</t>
        </is>
      </c>
      <c r="C160" s="1" t="n"/>
      <c r="D160" s="1" t="inlineStr">
        <is>
          <t>Toro BCN 1h con conductor</t>
        </is>
      </c>
      <c r="E160" s="4" t="n"/>
      <c r="F160" s="26" t="n"/>
      <c r="G160" s="26" t="n"/>
      <c r="H160" s="26" t="n"/>
      <c r="I160" s="26" t="n"/>
      <c r="J160" s="6" t="n">
        <v>0</v>
      </c>
      <c r="K160" s="19" t="n">
        <v>90</v>
      </c>
      <c r="L160" s="188">
        <f>IFERROR(ROUNDUP((Q160/J160)/0.5,0)*0.5,0)</f>
        <v/>
      </c>
      <c r="M160" s="5">
        <f>IF(I160=0,J160*K160,I160*J160*K160)</f>
        <v/>
      </c>
      <c r="N160" s="38">
        <f>$N$169</f>
        <v/>
      </c>
      <c r="O160" s="39">
        <f>SUM(M160*N160)+M160</f>
        <v/>
      </c>
      <c r="P160" s="5">
        <f>SUM(O160-M160)</f>
        <v/>
      </c>
      <c r="Q160" s="128">
        <f>R160+S160</f>
        <v/>
      </c>
      <c r="R160" s="115" t="n"/>
      <c r="S160" s="126">
        <f>SUM(T160:AU160)</f>
        <v/>
      </c>
      <c r="T160" s="129">
        <f>J160*COSTE!$G$78</f>
        <v/>
      </c>
      <c r="U160" s="129">
        <f>J160*(1*(2*COSTE!$G$5))</f>
        <v/>
      </c>
      <c r="V160" s="115" t="n"/>
      <c r="W160" s="115" t="n"/>
      <c r="X160" s="115" t="n"/>
      <c r="Y160" s="115" t="n"/>
      <c r="Z160" s="115" t="n"/>
      <c r="AA160" s="115" t="n"/>
      <c r="AB160" s="115" t="n"/>
      <c r="AC160" s="115" t="n"/>
      <c r="AD160" s="115" t="n"/>
      <c r="AE160" s="115" t="n"/>
      <c r="AF160" s="115" t="n"/>
      <c r="AG160" s="115" t="n"/>
      <c r="AH160" s="115" t="n"/>
      <c r="AI160" s="115" t="n"/>
    </row>
    <row r="161">
      <c r="A161" s="1" t="inlineStr">
        <is>
          <t>Log. y Per.</t>
        </is>
      </c>
      <c r="B161" s="1" t="inlineStr">
        <is>
          <t>Toro</t>
        </is>
      </c>
      <c r="C161" s="1" t="n"/>
      <c r="D161" s="1" t="inlineStr">
        <is>
          <t>Toro BCN 1 dia sin conductor</t>
        </is>
      </c>
      <c r="E161" s="4" t="n"/>
      <c r="F161" s="26" t="n"/>
      <c r="G161" s="26" t="n"/>
      <c r="H161" s="26" t="n"/>
      <c r="I161" s="26" t="n"/>
      <c r="J161" s="6" t="n">
        <v>0</v>
      </c>
      <c r="K161" s="19" t="n">
        <v>90</v>
      </c>
      <c r="L161" s="188">
        <f>IFERROR(ROUNDUP((Q161/J161)/0.5,0)*0.5,0)</f>
        <v/>
      </c>
      <c r="M161" s="5">
        <f>IF(I161=0,J161*K161,I161*J161*K161)</f>
        <v/>
      </c>
      <c r="N161" s="38">
        <f>$N$169</f>
        <v/>
      </c>
      <c r="O161" s="39">
        <f>SUM(M161*N161)+M161</f>
        <v/>
      </c>
      <c r="P161" s="5">
        <f>SUM(O161-M161)</f>
        <v/>
      </c>
      <c r="Q161" s="128">
        <f>R161+S161</f>
        <v/>
      </c>
      <c r="R161" s="115" t="n"/>
      <c r="S161" s="126">
        <f>SUM(T161:AU161)</f>
        <v/>
      </c>
      <c r="T161" s="129">
        <f>J161*COSTE!$G$79</f>
        <v/>
      </c>
      <c r="U161" s="129">
        <f>J161*(4*(2*COSTE!$G$5))</f>
        <v/>
      </c>
      <c r="V161" s="115" t="n"/>
      <c r="W161" s="115" t="n"/>
      <c r="X161" s="115" t="n"/>
      <c r="Y161" s="115" t="n"/>
      <c r="Z161" s="115" t="n"/>
      <c r="AA161" s="115" t="n"/>
      <c r="AB161" s="115" t="n"/>
      <c r="AC161" s="115" t="n"/>
      <c r="AD161" s="115" t="n"/>
      <c r="AE161" s="115" t="n"/>
      <c r="AF161" s="115" t="n"/>
      <c r="AG161" s="115" t="n"/>
      <c r="AH161" s="115" t="n"/>
      <c r="AI161" s="115" t="n"/>
    </row>
    <row r="162">
      <c r="A162" s="104" t="inlineStr">
        <is>
          <t>FAMILIA</t>
        </is>
      </c>
      <c r="B162" s="104" t="inlineStr">
        <is>
          <t>SUB F.</t>
        </is>
      </c>
      <c r="C162" s="104" t="inlineStr">
        <is>
          <t>MATERIAL</t>
        </is>
      </c>
      <c r="D162" s="100" t="inlineStr">
        <is>
          <t>PERSONAL</t>
        </is>
      </c>
      <c r="E162" s="100" t="inlineStr">
        <is>
          <t>COMENTARIOS</t>
        </is>
      </c>
      <c r="F162" s="99" t="inlineStr">
        <is>
          <t>Persona</t>
        </is>
      </c>
      <c r="G162" s="99" t="inlineStr">
        <is>
          <t>horas</t>
        </is>
      </c>
      <c r="H162" s="99" t="inlineStr">
        <is>
          <t>dias</t>
        </is>
      </c>
      <c r="I162" s="106" t="inlineStr">
        <is>
          <t>Per/Dia</t>
        </is>
      </c>
      <c r="J162" s="106" t="inlineStr">
        <is>
          <t>UDS</t>
        </is>
      </c>
      <c r="K162" s="101" t="inlineStr">
        <is>
          <t>€/Dia/h.</t>
        </is>
      </c>
      <c r="L162" s="142" t="inlineStr">
        <is>
          <t>€/Dia/h Real</t>
        </is>
      </c>
      <c r="M162" s="101" t="inlineStr">
        <is>
          <t>€/Empresa</t>
        </is>
      </c>
      <c r="N162" s="102" t="inlineStr">
        <is>
          <t>Markup %</t>
        </is>
      </c>
      <c r="O162" s="101" t="inlineStr">
        <is>
          <t>€ TOTAL</t>
        </is>
      </c>
      <c r="P162" s="101" t="inlineStr">
        <is>
          <t>BEN.EMP</t>
        </is>
      </c>
      <c r="Q162" s="122" t="inlineStr">
        <is>
          <t>COSTE TOT</t>
        </is>
      </c>
      <c r="R162" s="136" t="inlineStr">
        <is>
          <t xml:space="preserve">Diseño </t>
        </is>
      </c>
      <c r="S162" s="109" t="inlineStr">
        <is>
          <t xml:space="preserve">COSTE </t>
        </is>
      </c>
      <c r="T162" s="110" t="inlineStr">
        <is>
          <t>Personal</t>
        </is>
      </c>
      <c r="U162" s="111" t="inlineStr">
        <is>
          <t>Desplazamiento 2h</t>
        </is>
      </c>
      <c r="V162" s="110" t="inlineStr">
        <is>
          <t>Dieta</t>
        </is>
      </c>
      <c r="W162" s="174" t="inlineStr">
        <is>
          <t>Vuelo</t>
        </is>
      </c>
      <c r="X162" s="110" t="inlineStr">
        <is>
          <t>Hotel</t>
        </is>
      </c>
      <c r="Y162" s="161" t="n"/>
      <c r="Z162" s="161" t="n"/>
      <c r="AA162" s="168" t="n"/>
      <c r="AB162" s="168" t="n"/>
      <c r="AC162" s="112" t="n"/>
      <c r="AD162" s="161" t="n"/>
      <c r="AE162" s="112" t="n"/>
      <c r="AF162" s="112" t="n"/>
      <c r="AG162" s="112" t="n"/>
      <c r="AH162" s="112" t="n"/>
      <c r="AI162" s="112" t="n"/>
    </row>
    <row r="163">
      <c r="A163" s="1" t="inlineStr">
        <is>
          <t>Log. y Per.</t>
        </is>
      </c>
      <c r="B163" s="1" t="inlineStr">
        <is>
          <t>Personal</t>
        </is>
      </c>
      <c r="C163" s="1" t="n"/>
      <c r="D163" s="1" t="inlineStr">
        <is>
          <t>Persona Montaje  (12h) BCN (1/2 Dieta)</t>
        </is>
      </c>
      <c r="E163" s="4" t="n"/>
      <c r="F163" s="119" t="n">
        <v>0</v>
      </c>
      <c r="G163" s="119" t="n">
        <v>0</v>
      </c>
      <c r="H163" s="119" t="n">
        <v>0</v>
      </c>
      <c r="I163" s="171">
        <f>F163*H163</f>
        <v/>
      </c>
      <c r="J163" s="6" t="n">
        <v>0</v>
      </c>
      <c r="K163" s="19" t="n">
        <v>300</v>
      </c>
      <c r="L163" s="189">
        <f>IFERROR((Q163/H163)/F163,0)</f>
        <v/>
      </c>
      <c r="M163" s="5">
        <f>IF(I163=0,J163*K163,I163*J163*K163)</f>
        <v/>
      </c>
      <c r="N163" s="38">
        <f>$N$169</f>
        <v/>
      </c>
      <c r="O163" s="39">
        <f>SUM(M163*N163)+M163</f>
        <v/>
      </c>
      <c r="P163" s="5">
        <f>SUM(O163-M163)</f>
        <v/>
      </c>
      <c r="Q163" s="128">
        <f>R163+S163</f>
        <v/>
      </c>
      <c r="R163" s="115" t="n"/>
      <c r="S163" s="126">
        <f>SUM(T163:AU163)</f>
        <v/>
      </c>
      <c r="T163" s="129">
        <f>MIN(((G163*H163)*F163),8)*COSTE!$G$5 + MAX(((G163*H163)*F163)-8,0)*COSTE!$J$5</f>
        <v/>
      </c>
      <c r="U163" s="129">
        <f>(H163*2)*COSTE!$G$5</f>
        <v/>
      </c>
      <c r="V163" s="129">
        <f>(H163*F163)*COSTE!$L$5</f>
        <v/>
      </c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</row>
    <row r="164">
      <c r="A164" s="1" t="inlineStr">
        <is>
          <t>Log. y Per.</t>
        </is>
      </c>
      <c r="B164" s="1" t="inlineStr">
        <is>
          <t>Personal</t>
        </is>
      </c>
      <c r="C164" s="1" t="n"/>
      <c r="D164" s="1" t="inlineStr">
        <is>
          <t>Persona Desmontaje (12h) BCN (1/2 Dieta)</t>
        </is>
      </c>
      <c r="E164" s="4" t="n"/>
      <c r="F164" s="119" t="n">
        <v>0</v>
      </c>
      <c r="G164" s="119" t="n">
        <v>0</v>
      </c>
      <c r="H164" s="119" t="n">
        <v>0</v>
      </c>
      <c r="I164" s="171">
        <f>F164*H164</f>
        <v/>
      </c>
      <c r="J164" s="6" t="n">
        <v>0</v>
      </c>
      <c r="K164" s="19" t="n">
        <v>300</v>
      </c>
      <c r="L164" s="189">
        <f>IFERROR((Q164/H164)/F164,0)</f>
        <v/>
      </c>
      <c r="M164" s="5">
        <f>IF(I164=0,J164*K164,I164*J164*K164)</f>
        <v/>
      </c>
      <c r="N164" s="38">
        <f>$N$169</f>
        <v/>
      </c>
      <c r="O164" s="39">
        <f>SUM(M164*N164)+M164</f>
        <v/>
      </c>
      <c r="P164" s="5">
        <f>SUM(O164-M164)</f>
        <v/>
      </c>
      <c r="Q164" s="128">
        <f>R164+S164</f>
        <v/>
      </c>
      <c r="R164" s="115" t="n"/>
      <c r="S164" s="126">
        <f>SUM(T164:AU164)</f>
        <v/>
      </c>
      <c r="T164" s="129">
        <f>MIN(((G164*H164)*F164),8)*COSTE!$G$5 + MAX(((G164*H164)*F164)-8,0)*COSTE!$J$5</f>
        <v/>
      </c>
      <c r="U164" s="129">
        <f>(H164*2)*COSTE!$G$5</f>
        <v/>
      </c>
      <c r="V164" s="129">
        <f>(H164*F164)*COSTE!$L$5</f>
        <v/>
      </c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</row>
    <row r="165">
      <c r="A165" s="1" t="inlineStr">
        <is>
          <t>Log. y Per.</t>
        </is>
      </c>
      <c r="B165" s="1" t="inlineStr">
        <is>
          <t>Personal</t>
        </is>
      </c>
      <c r="C165" s="1" t="n"/>
      <c r="D165" s="1" t="inlineStr">
        <is>
          <t>Persona Montaje (12h) Fuera (Dieta completa)</t>
        </is>
      </c>
      <c r="E165" s="4" t="n"/>
      <c r="F165" s="119" t="n">
        <v>0</v>
      </c>
      <c r="G165" s="119" t="n">
        <v>0</v>
      </c>
      <c r="H165" s="119" t="n">
        <v>0</v>
      </c>
      <c r="I165" s="171">
        <f>F165*H165</f>
        <v/>
      </c>
      <c r="J165" s="6" t="n">
        <v>0</v>
      </c>
      <c r="K165" s="19" t="n">
        <v>300</v>
      </c>
      <c r="L165" s="189">
        <f>IFERROR((Q165/H165)/F165,0)</f>
        <v/>
      </c>
      <c r="M165" s="5">
        <f>IF(I165=0,J165*K165,I165*J165*K165)</f>
        <v/>
      </c>
      <c r="N165" s="38">
        <f>$N$169</f>
        <v/>
      </c>
      <c r="O165" s="39">
        <f>SUM(M165*N165)+M165</f>
        <v/>
      </c>
      <c r="P165" s="5">
        <f>SUM(O165-M165)</f>
        <v/>
      </c>
      <c r="Q165" s="128">
        <f>R165+S165</f>
        <v/>
      </c>
      <c r="R165" s="115" t="n"/>
      <c r="S165" s="126">
        <f>SUM(T165:AU165)</f>
        <v/>
      </c>
      <c r="T165" s="129">
        <f>MIN(((G165*H165)*F165),8)*COSTE!$G$5 + MAX(((G165*H165)*F165)-8,0)*COSTE!$J$5</f>
        <v/>
      </c>
      <c r="U165" s="129">
        <f>(H165*2)*COSTE!$G$5</f>
        <v/>
      </c>
      <c r="V165" s="129">
        <f>(H165*F165)*COSTE!$N$5</f>
        <v/>
      </c>
      <c r="W165" s="129">
        <f>F165*(150*2)</f>
        <v/>
      </c>
      <c r="X165" s="129">
        <f>((160*H165)*F165)/2</f>
        <v/>
      </c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</row>
    <row r="166">
      <c r="A166" s="1" t="inlineStr">
        <is>
          <t>Log. y Per.</t>
        </is>
      </c>
      <c r="B166" s="1" t="inlineStr">
        <is>
          <t>Personal</t>
        </is>
      </c>
      <c r="C166" s="1" t="n"/>
      <c r="D166" s="1" t="inlineStr">
        <is>
          <t>Persona Desmontaje (12h) Fuera (Dieta completa)</t>
        </is>
      </c>
      <c r="E166" s="4" t="n"/>
      <c r="F166" s="119" t="n">
        <v>0</v>
      </c>
      <c r="G166" s="119" t="n">
        <v>0</v>
      </c>
      <c r="H166" s="119" t="n">
        <v>0</v>
      </c>
      <c r="I166" s="171">
        <f>F166*H166</f>
        <v/>
      </c>
      <c r="J166" s="6" t="n">
        <v>0</v>
      </c>
      <c r="K166" s="19" t="n">
        <v>300</v>
      </c>
      <c r="L166" s="189">
        <f>IFERROR((Q166/H166)/F166,0)</f>
        <v/>
      </c>
      <c r="M166" s="5">
        <f>IF(I166=0,J166*K166,I166*J166*K166)</f>
        <v/>
      </c>
      <c r="N166" s="38">
        <f>$N$169</f>
        <v/>
      </c>
      <c r="O166" s="39">
        <f>SUM(M166*N166)+M166</f>
        <v/>
      </c>
      <c r="P166" s="5">
        <f>SUM(O166-M166)</f>
        <v/>
      </c>
      <c r="Q166" s="128">
        <f>R166+S166</f>
        <v/>
      </c>
      <c r="R166" s="115" t="n"/>
      <c r="S166" s="126">
        <f>SUM(T166:AU166)</f>
        <v/>
      </c>
      <c r="T166" s="129">
        <f>MIN(((G166*H166)*F166),8)*COSTE!$G$5 + MAX(((G166*H166)*F166)-8,0)*COSTE!$J$5</f>
        <v/>
      </c>
      <c r="U166" s="129">
        <f>(H166*2)*COSTE!$G$5</f>
        <v/>
      </c>
      <c r="V166" s="129">
        <f>(H166*F166)*COSTE!$N$5</f>
        <v/>
      </c>
      <c r="W166" s="129">
        <f>F166*(150*2)</f>
        <v/>
      </c>
      <c r="X166" s="129">
        <f>((160*H166)*F166)/2</f>
        <v/>
      </c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</row>
    <row r="167">
      <c r="A167" s="104" t="inlineStr">
        <is>
          <t>FAMILIA</t>
        </is>
      </c>
      <c r="B167" s="104" t="inlineStr">
        <is>
          <t>SUB F.</t>
        </is>
      </c>
      <c r="C167" s="104" t="inlineStr">
        <is>
          <t>MATERIAL</t>
        </is>
      </c>
      <c r="D167" s="100" t="inlineStr">
        <is>
          <t>RECICLAJE</t>
        </is>
      </c>
      <c r="E167" s="100" t="inlineStr">
        <is>
          <t>COMENTARIOS</t>
        </is>
      </c>
      <c r="F167" s="99" t="n"/>
      <c r="G167" s="99" t="n"/>
      <c r="H167" s="99" t="n"/>
      <c r="I167" s="101" t="n"/>
      <c r="J167" s="106" t="inlineStr">
        <is>
          <t>UDS</t>
        </is>
      </c>
      <c r="K167" s="101" t="inlineStr">
        <is>
          <t>€/UDS</t>
        </is>
      </c>
      <c r="L167" s="142" t="inlineStr">
        <is>
          <t>€/Uni Real</t>
        </is>
      </c>
      <c r="M167" s="101" t="inlineStr">
        <is>
          <t>€/Empresa</t>
        </is>
      </c>
      <c r="N167" s="102" t="inlineStr">
        <is>
          <t>Markup %</t>
        </is>
      </c>
      <c r="O167" s="101" t="inlineStr">
        <is>
          <t>€ TOTAL</t>
        </is>
      </c>
      <c r="P167" s="101" t="inlineStr">
        <is>
          <t>BEN.EMP</t>
        </is>
      </c>
      <c r="Q167" s="122" t="inlineStr">
        <is>
          <t>COSTE TOT</t>
        </is>
      </c>
      <c r="R167" s="136" t="inlineStr">
        <is>
          <t xml:space="preserve">Diseño </t>
        </is>
      </c>
      <c r="S167" s="109" t="inlineStr">
        <is>
          <t xml:space="preserve">COSTE </t>
        </is>
      </c>
      <c r="T167" s="110" t="inlineStr">
        <is>
          <t xml:space="preserve">Alquiler </t>
        </is>
      </c>
      <c r="U167" s="161" t="n"/>
      <c r="V167" s="161" t="n"/>
      <c r="W167" s="168" t="n"/>
      <c r="X167" s="161" t="n"/>
      <c r="Y167" s="161" t="n"/>
      <c r="Z167" s="161" t="n"/>
      <c r="AA167" s="168" t="n"/>
      <c r="AB167" s="168" t="n"/>
      <c r="AC167" s="112" t="n"/>
      <c r="AD167" s="161" t="n"/>
      <c r="AE167" s="112" t="n"/>
      <c r="AF167" s="112" t="n"/>
      <c r="AG167" s="112" t="n"/>
      <c r="AH167" s="112" t="n"/>
      <c r="AI167" s="112" t="n"/>
    </row>
    <row r="168">
      <c r="A168" s="1" t="inlineStr">
        <is>
          <t>Log. y Per.</t>
        </is>
      </c>
      <c r="B168" s="1" t="inlineStr">
        <is>
          <t>Reciclaje</t>
        </is>
      </c>
      <c r="C168" s="1" t="n"/>
      <c r="D168" s="1" t="inlineStr">
        <is>
          <t>Reciclaje feria BCN</t>
        </is>
      </c>
      <c r="E168" s="4" t="inlineStr">
        <is>
          <t>*Poner Precios correctos</t>
        </is>
      </c>
      <c r="F168" s="26" t="n"/>
      <c r="G168" s="26" t="n"/>
      <c r="H168" s="26" t="n"/>
      <c r="I168" s="26" t="n"/>
      <c r="J168" s="6" t="n">
        <v>0</v>
      </c>
      <c r="K168" s="10" t="n">
        <v>300</v>
      </c>
      <c r="L168" s="188">
        <f>IFERROR(ROUNDUP((Q168/J168)/0.5,0)*0.5,0)</f>
        <v/>
      </c>
      <c r="M168" s="5">
        <f>IF(I168=0,J168*K168,I168*J168*K168)</f>
        <v/>
      </c>
      <c r="N168" s="38">
        <f>$N$169</f>
        <v/>
      </c>
      <c r="O168" s="39">
        <f>SUM(M168*N168)+M168</f>
        <v/>
      </c>
      <c r="P168" s="5">
        <f>SUM(O168-M168)</f>
        <v/>
      </c>
      <c r="Q168" s="128">
        <f>R168+S168</f>
        <v/>
      </c>
      <c r="R168" s="115" t="n"/>
      <c r="S168" s="126">
        <f>SUM(T168:AU168)</f>
        <v/>
      </c>
      <c r="T168" s="172">
        <f>J168*COSTE!G83</f>
        <v/>
      </c>
      <c r="U168" s="115" t="n"/>
      <c r="V168" s="115" t="n"/>
      <c r="W168" s="115" t="n"/>
      <c r="X168" s="115" t="n"/>
      <c r="Y168" s="115" t="n"/>
      <c r="Z168" s="115" t="n"/>
      <c r="AA168" s="115" t="n"/>
      <c r="AB168" s="115" t="n"/>
      <c r="AC168" s="115" t="n"/>
      <c r="AD168" s="115" t="n"/>
      <c r="AE168" s="115" t="n"/>
      <c r="AF168" s="115" t="n"/>
      <c r="AG168" s="115" t="n"/>
      <c r="AH168" s="115" t="n"/>
      <c r="AI168" s="115" t="n"/>
    </row>
    <row r="169" customFormat="1" s="191">
      <c r="A169" s="22" t="n"/>
      <c r="B169" s="22" t="n"/>
      <c r="C169" s="22" t="n"/>
      <c r="D169" s="22" t="n"/>
      <c r="E169" s="22" t="n"/>
      <c r="F169" s="8" t="n"/>
      <c r="G169" s="8" t="n"/>
      <c r="H169" s="8" t="n"/>
      <c r="I169" s="8" t="n"/>
      <c r="J169" s="8" t="n"/>
      <c r="K169" s="8" t="inlineStr">
        <is>
          <t>TOTAL TRANSPORTE Y PERSONAL</t>
        </is>
      </c>
      <c r="L169" s="144" t="n"/>
      <c r="M169" s="9">
        <f>SUM(M152:M168)</f>
        <v/>
      </c>
      <c r="N169" s="18">
        <f>$N$2</f>
        <v/>
      </c>
      <c r="O169" s="9">
        <f>SUM(O152:O168)</f>
        <v/>
      </c>
      <c r="P169" s="9">
        <f>SUM(P152:P168)</f>
        <v/>
      </c>
      <c r="Q169" s="9">
        <f>SUM(Q152:Q168)</f>
        <v/>
      </c>
      <c r="R169" s="9" t="n"/>
      <c r="S169" s="9">
        <f>SUM(S152:S168)</f>
        <v/>
      </c>
      <c r="T169" s="131" t="n"/>
      <c r="U169" s="131" t="n"/>
      <c r="V169" s="131" t="n"/>
      <c r="W169" s="131" t="n"/>
      <c r="X169" s="131" t="n"/>
      <c r="Y169" s="131" t="n"/>
      <c r="Z169" s="131" t="n"/>
      <c r="AA169" s="131" t="n"/>
      <c r="AB169" s="131" t="n"/>
      <c r="AC169" s="131" t="n"/>
      <c r="AD169" s="131" t="n"/>
      <c r="AE169" s="131" t="n"/>
      <c r="AF169" s="131" t="n"/>
      <c r="AG169" s="131" t="n"/>
      <c r="AH169" s="131" t="n"/>
      <c r="AI169" s="131" t="n"/>
    </row>
  </sheetData>
  <mergeCells count="3">
    <mergeCell ref="F2:G2"/>
    <mergeCell ref="A1:B3"/>
    <mergeCell ref="F1:G1"/>
  </mergeCells>
  <conditionalFormatting sqref="A4:P4 A5:Q8 A9:L10 A11:P13 A14:L23 A24:K38 A39:P39 A40:Q45 A46:L125 A126:P133 A134:Q140 A141:P141 A142:Q143 A144:S151 A152:P153 A154:L161 A162:I166 A167:P169 A170:S184 J162:P162 J163:Q166 L24:L25 L37:Q38 M9:P9 M10:Q10 M14:S14 M15:P24 M25:Q25 M46:S46 M47:P50 M54:S54 M55:P60 M61:Q63 M64:P65 M66:Q68 M69:S69 M70:P73 M74:AI74 M75:P75 M76:Q77 M78:AI78 M79:P79 M80:Q86 M87:P110 M111:S111 M112:P118 M119:S119 M120:P120 M121:Q121 M122:S122 M123:P125 M154:P159 M160:Q161 Q52:Q53 Q59:S59 Q64:S64 Q87:AI87 Q89:Q102 Q124:Q125 Q126:S126 Q132:S132 Q153:Q159 Q168 Q169:S169 AL52:AL53 AL56:AL58 AL61:AL63 AL66:AL68 AL71:AL73 AL76:AL77 AL80:AL86 AL89:AL102 AL104:AL106 AL108:AL110 AL113:AL118 AL121 AL124:AL125">
    <cfRule type="expression" priority="113" dxfId="0">
      <formula>$J4&gt;0</formula>
    </cfRule>
  </conditionalFormatting>
  <conditionalFormatting sqref="E16:E23 E25 E48:E50">
    <cfRule type="expression" priority="327" dxfId="11">
      <formula>#REF!&lt;&gt;0</formula>
    </cfRule>
  </conditionalFormatting>
  <conditionalFormatting sqref="E40:E41">
    <cfRule type="expression" priority="183" dxfId="11">
      <formula>#REF!&lt;&gt;0</formula>
    </cfRule>
  </conditionalFormatting>
  <conditionalFormatting sqref="E52:E53 E89:E90 E93:E94 E97:E98 E101:E102 E153:E161 E163:E166 E168">
    <cfRule type="expression" priority="133" dxfId="11">
      <formula>#REF!&lt;&gt;0</formula>
    </cfRule>
  </conditionalFormatting>
  <conditionalFormatting sqref="E84:E86 E104:E106 E108:E110 E128 E145 E147:E150">
    <cfRule type="expression" priority="271" dxfId="11">
      <formula>#REF!&lt;&gt;0</formula>
    </cfRule>
  </conditionalFormatting>
  <conditionalFormatting sqref="E124:E125">
    <cfRule type="expression" priority="64" dxfId="11">
      <formula>#REF!&lt;&gt;0</formula>
    </cfRule>
  </conditionalFormatting>
  <conditionalFormatting sqref="F35 F37:F38">
    <cfRule type="expression" priority="403" dxfId="11">
      <formula>#REF!&lt;&gt;0</formula>
    </cfRule>
  </conditionalFormatting>
  <conditionalFormatting sqref="F42:G42">
    <cfRule type="expression" priority="20" dxfId="11">
      <formula>#REF!&gt;0</formula>
    </cfRule>
  </conditionalFormatting>
  <conditionalFormatting sqref="F40:H41">
    <cfRule type="expression" priority="24" dxfId="11">
      <formula>#REF!&gt;0</formula>
    </cfRule>
  </conditionalFormatting>
  <conditionalFormatting sqref="F16:I23">
    <cfRule type="expression" priority="6" dxfId="11">
      <formula>#REF!&gt;0</formula>
    </cfRule>
  </conditionalFormatting>
  <conditionalFormatting sqref="F25:I25">
    <cfRule type="expression" priority="8" dxfId="11">
      <formula>#REF!&gt;0</formula>
    </cfRule>
  </conditionalFormatting>
  <conditionalFormatting sqref="F37:I38">
    <cfRule type="expression" priority="14" dxfId="11">
      <formula>#REF!&gt;0</formula>
    </cfRule>
  </conditionalFormatting>
  <conditionalFormatting sqref="F40:I42 M40:M42">
    <cfRule type="expression" priority="105" dxfId="11">
      <formula>#REF!&gt;0</formula>
    </cfRule>
  </conditionalFormatting>
  <conditionalFormatting sqref="F45:I45">
    <cfRule type="expression" priority="16" dxfId="11">
      <formula>#REF!&gt;0</formula>
    </cfRule>
  </conditionalFormatting>
  <conditionalFormatting sqref="F48:I50">
    <cfRule type="expression" priority="26" dxfId="11">
      <formula>#REF!&gt;0</formula>
    </cfRule>
  </conditionalFormatting>
  <conditionalFormatting sqref="F56:I58">
    <cfRule type="expression" priority="28" dxfId="11">
      <formula>#REF!&gt;0</formula>
    </cfRule>
  </conditionalFormatting>
  <conditionalFormatting sqref="F61:I63">
    <cfRule type="expression" priority="30" dxfId="11">
      <formula>#REF!&gt;0</formula>
    </cfRule>
  </conditionalFormatting>
  <conditionalFormatting sqref="F66:I68">
    <cfRule type="expression" priority="32" dxfId="11">
      <formula>#REF!&gt;0</formula>
    </cfRule>
  </conditionalFormatting>
  <conditionalFormatting sqref="F71:I73">
    <cfRule type="expression" priority="34" dxfId="11">
      <formula>#REF!&gt;0</formula>
    </cfRule>
  </conditionalFormatting>
  <conditionalFormatting sqref="F76:I77">
    <cfRule type="expression" priority="38" dxfId="11">
      <formula>#REF!&gt;0</formula>
    </cfRule>
  </conditionalFormatting>
  <conditionalFormatting sqref="F89:I102">
    <cfRule type="expression" priority="40" dxfId="11">
      <formula>#REF!&gt;0</formula>
    </cfRule>
  </conditionalFormatting>
  <conditionalFormatting sqref="F104:I106">
    <cfRule type="expression" priority="42" dxfId="11">
      <formula>#REF!&gt;0</formula>
    </cfRule>
  </conditionalFormatting>
  <conditionalFormatting sqref="F108:I110">
    <cfRule type="expression" priority="43" dxfId="11">
      <formula>#REF!&gt;0</formula>
    </cfRule>
  </conditionalFormatting>
  <conditionalFormatting sqref="F128:I128">
    <cfRule type="expression" priority="248" dxfId="11">
      <formula>#REF!&gt;0</formula>
    </cfRule>
  </conditionalFormatting>
  <conditionalFormatting sqref="H71:H72">
    <cfRule type="expression" priority="36" dxfId="11">
      <formula>#REF!&gt;0</formula>
    </cfRule>
  </conditionalFormatting>
  <conditionalFormatting sqref="I12:I13">
    <cfRule type="expression" priority="2" dxfId="11">
      <formula>#REF!&gt;0</formula>
    </cfRule>
  </conditionalFormatting>
  <conditionalFormatting sqref="I43:I44">
    <cfRule type="expression" priority="10" dxfId="11">
      <formula>#REF!&gt;0</formula>
    </cfRule>
  </conditionalFormatting>
  <conditionalFormatting sqref="I130">
    <cfRule type="expression" priority="45" dxfId="11">
      <formula>#REF!&gt;0</formula>
    </cfRule>
  </conditionalFormatting>
  <conditionalFormatting sqref="I131">
    <cfRule type="expression" priority="44" dxfId="11">
      <formula>#REF!&gt;0</formula>
    </cfRule>
  </conditionalFormatting>
  <conditionalFormatting sqref="K16:K23 K25">
    <cfRule type="expression" priority="152" dxfId="11">
      <formula>#REF!&gt;0</formula>
    </cfRule>
  </conditionalFormatting>
  <conditionalFormatting sqref="K40:K41 K43:K45">
    <cfRule type="expression" priority="148" dxfId="11">
      <formula>#REF!&gt;0</formula>
    </cfRule>
  </conditionalFormatting>
  <conditionalFormatting sqref="K73">
    <cfRule type="expression" priority="101" dxfId="11">
      <formula>#REF!&gt;0</formula>
    </cfRule>
  </conditionalFormatting>
  <conditionalFormatting sqref="L26:P26">
    <cfRule type="expression" priority="136" dxfId="0">
      <formula>$J26&gt;0</formula>
    </cfRule>
  </conditionalFormatting>
  <conditionalFormatting sqref="L36:P36">
    <cfRule type="expression" priority="144" dxfId="0">
      <formula>$J36&gt;0</formula>
    </cfRule>
  </conditionalFormatting>
  <conditionalFormatting sqref="L27:Q35">
    <cfRule type="expression" priority="233" dxfId="0">
      <formula>$J27&gt;0</formula>
    </cfRule>
  </conditionalFormatting>
  <conditionalFormatting sqref="F27:I35 F52:I53 F80:I86 F113:I118 F121:I121 F124:I125 F134:I140 F142:I143 F145:I145 F147:I150 F153:I161 F163:H166 F168:I168 M16:M23 M25 M27:M35 M37:M38 M45 M48:M50 M52:M53 M56:M58 M61:M63 M66:M68 M71:M73 M76:M77 M80:M86 M89:M102 M113:M118 M121 M124:M125 M128 M134:M140 M142:M143 M145 M147:M150 M153:M161 M163:M166 M168">
    <cfRule type="expression" priority="402" dxfId="11">
      <formula>#REF!&gt;0</formula>
    </cfRule>
  </conditionalFormatting>
  <conditionalFormatting sqref="M104:M106 M108:M110">
    <cfRule type="expression" priority="251" dxfId="11">
      <formula>#REF!&gt;0</formula>
    </cfRule>
  </conditionalFormatting>
  <conditionalFormatting sqref="M51:P53">
    <cfRule type="expression" priority="192" dxfId="0">
      <formula>$J51&gt;0</formula>
    </cfRule>
  </conditionalFormatting>
  <conditionalFormatting sqref="Q12:Q13">
    <cfRule type="expression" priority="178" dxfId="0">
      <formula>$J12&gt;0</formula>
    </cfRule>
  </conditionalFormatting>
  <conditionalFormatting sqref="Q16:Q23">
    <cfRule type="expression" priority="149" dxfId="0">
      <formula>$J16&gt;0</formula>
    </cfRule>
  </conditionalFormatting>
  <conditionalFormatting sqref="Q48:Q50">
    <cfRule type="expression" priority="134" dxfId="0">
      <formula>$J48&gt;0</formula>
    </cfRule>
  </conditionalFormatting>
  <conditionalFormatting sqref="Q56:Q58">
    <cfRule type="expression" priority="118" dxfId="0">
      <formula>$J56&gt;0</formula>
    </cfRule>
  </conditionalFormatting>
  <conditionalFormatting sqref="Q71:Q73">
    <cfRule type="expression" priority="102" dxfId="0">
      <formula>$J71&gt;0</formula>
    </cfRule>
  </conditionalFormatting>
  <conditionalFormatting sqref="Q104:Q106">
    <cfRule type="expression" priority="79" dxfId="0">
      <formula>$J104&gt;0</formula>
    </cfRule>
  </conditionalFormatting>
  <conditionalFormatting sqref="Q108:Q110">
    <cfRule type="expression" priority="78" dxfId="0">
      <formula>$J108&gt;0</formula>
    </cfRule>
  </conditionalFormatting>
  <conditionalFormatting sqref="Q113:Q118">
    <cfRule type="expression" priority="74" dxfId="0">
      <formula>$J113&gt;0</formula>
    </cfRule>
  </conditionalFormatting>
  <conditionalFormatting sqref="Q128">
    <cfRule type="expression" priority="53" dxfId="0">
      <formula>$J128&gt;0</formula>
    </cfRule>
  </conditionalFormatting>
  <conditionalFormatting sqref="Q130:Q131">
    <cfRule type="expression" priority="56" dxfId="0">
      <formula>$J130&gt;0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8"/>
  <sheetViews>
    <sheetView zoomScale="130" zoomScaleNormal="130" workbookViewId="0">
      <pane ySplit="2" topLeftCell="A9" activePane="bottomLeft" state="frozen"/>
      <selection pane="bottomLeft" activeCell="P34" sqref="P34"/>
    </sheetView>
  </sheetViews>
  <sheetFormatPr baseColWidth="10" defaultRowHeight="14.5"/>
  <cols>
    <col width="19.36328125" bestFit="1" customWidth="1" style="192" min="2" max="2"/>
    <col width="50" customWidth="1" style="192" min="3" max="3"/>
    <col width="6" bestFit="1" customWidth="1" style="192" min="4" max="4"/>
    <col width="7.08984375" bestFit="1" customWidth="1" style="192" min="5" max="5"/>
    <col width="6.90625" bestFit="1" customWidth="1" style="192" min="6" max="6"/>
    <col width="9.6328125" bestFit="1" customWidth="1" style="40" min="7" max="7"/>
    <col width="6.81640625" bestFit="1" customWidth="1" style="192" min="8" max="8"/>
    <col width="12.1796875" bestFit="1" customWidth="1" style="192" min="9" max="9"/>
    <col width="8" bestFit="1" customWidth="1" style="40" min="10" max="10"/>
    <col width="12.1796875" bestFit="1" customWidth="1" style="192" min="11" max="11"/>
    <col width="8" bestFit="1" customWidth="1" style="40" min="12" max="12"/>
    <col width="15.81640625" bestFit="1" customWidth="1" style="192" min="13" max="13"/>
    <col width="6.90625" bestFit="1" customWidth="1" style="192" min="14" max="14"/>
    <col width="13.1796875" bestFit="1" customWidth="1" style="192" min="15" max="15"/>
    <col width="9" bestFit="1" customWidth="1" style="40" min="16" max="16"/>
  </cols>
  <sheetData>
    <row r="1">
      <c r="J1" s="7" t="inlineStr">
        <is>
          <t>EXTRAS</t>
        </is>
      </c>
      <c r="K1" s="198" t="n"/>
      <c r="L1" s="198" t="n"/>
      <c r="M1" s="198" t="n"/>
      <c r="N1" s="198" t="n"/>
      <c r="O1" s="195" t="n"/>
    </row>
    <row r="2" ht="26.5" customHeight="1" s="192">
      <c r="A2" s="7" t="inlineStr">
        <is>
          <t>FAMILIA</t>
        </is>
      </c>
      <c r="B2" s="68" t="inlineStr">
        <is>
          <t>SUB.FAMILIA MATERIAL</t>
        </is>
      </c>
      <c r="C2" s="7" t="inlineStr">
        <is>
          <t>DESCRIPICON</t>
        </is>
      </c>
      <c r="D2" s="68" t="inlineStr">
        <is>
          <t>X (mm)</t>
        </is>
      </c>
      <c r="E2" s="68" t="inlineStr">
        <is>
          <t>Y   (mm)</t>
        </is>
      </c>
      <c r="F2" s="68" t="inlineStr">
        <is>
          <t>Grosor (mm)</t>
        </is>
      </c>
      <c r="G2" s="67" t="inlineStr">
        <is>
          <t>PRECIO</t>
        </is>
      </c>
      <c r="H2" s="7" t="inlineStr">
        <is>
          <t>UNI</t>
        </is>
      </c>
      <c r="I2" s="7" t="inlineStr">
        <is>
          <t>PROVEEDOR</t>
        </is>
      </c>
      <c r="J2" s="67" t="inlineStr">
        <is>
          <t xml:space="preserve">€ </t>
        </is>
      </c>
      <c r="K2" s="7" t="inlineStr">
        <is>
          <t>Concepto</t>
        </is>
      </c>
      <c r="L2" s="67" t="inlineStr">
        <is>
          <t xml:space="preserve">€ </t>
        </is>
      </c>
      <c r="M2" s="7" t="inlineStr">
        <is>
          <t>Concepto</t>
        </is>
      </c>
      <c r="N2" s="67" t="inlineStr">
        <is>
          <t xml:space="preserve">€ </t>
        </is>
      </c>
      <c r="O2" s="7" t="inlineStr">
        <is>
          <t>Concepto</t>
        </is>
      </c>
      <c r="P2" s="7" t="inlineStr">
        <is>
          <t>€/Tablero</t>
        </is>
      </c>
    </row>
    <row r="3" customFormat="1" s="170">
      <c r="A3" s="158" t="inlineStr">
        <is>
          <t>Personal</t>
        </is>
      </c>
      <c r="B3" s="158" t="inlineStr">
        <is>
          <t>Diseño</t>
        </is>
      </c>
      <c r="C3" s="158" t="n"/>
      <c r="D3" s="47" t="n"/>
      <c r="E3" s="47" t="n"/>
      <c r="F3" s="47" t="n"/>
      <c r="G3" s="153">
        <f>COMPARATIVA!G3</f>
        <v/>
      </c>
      <c r="H3" s="158" t="inlineStr">
        <is>
          <t>€/h</t>
        </is>
      </c>
      <c r="I3" s="158" t="inlineStr">
        <is>
          <t>ESWood</t>
        </is>
      </c>
      <c r="J3" s="66" t="n"/>
      <c r="K3" s="47" t="n"/>
      <c r="L3" s="66" t="n"/>
      <c r="M3" s="47" t="n"/>
      <c r="N3" s="66" t="n"/>
      <c r="O3" s="47" t="n"/>
      <c r="P3" s="153" t="n"/>
    </row>
    <row r="4" customFormat="1" s="170">
      <c r="A4" s="158" t="inlineStr">
        <is>
          <t>Personal</t>
        </is>
      </c>
      <c r="B4" s="158" t="inlineStr">
        <is>
          <t>Fabricación</t>
        </is>
      </c>
      <c r="C4" s="158" t="n"/>
      <c r="D4" s="47" t="n"/>
      <c r="E4" s="47" t="n"/>
      <c r="F4" s="47" t="n"/>
      <c r="G4" s="153">
        <f>COMPARATIVA!G4</f>
        <v/>
      </c>
      <c r="H4" s="158" t="inlineStr">
        <is>
          <t>€/h</t>
        </is>
      </c>
      <c r="I4" s="158" t="inlineStr">
        <is>
          <t>ESWood</t>
        </is>
      </c>
      <c r="J4" s="153" t="n">
        <v>23.7</v>
      </c>
      <c r="K4" s="158" t="inlineStr">
        <is>
          <t>H. Extra</t>
        </is>
      </c>
      <c r="L4" s="153" t="n">
        <v>13.52</v>
      </c>
      <c r="M4" s="158" t="inlineStr">
        <is>
          <t>1/2Dieta</t>
        </is>
      </c>
      <c r="N4" s="153" t="n">
        <v>67</v>
      </c>
      <c r="O4" s="158" t="inlineStr">
        <is>
          <t>Dieta completa</t>
        </is>
      </c>
      <c r="P4" s="153" t="n"/>
    </row>
    <row r="5" customFormat="1" s="170">
      <c r="A5" s="158" t="inlineStr">
        <is>
          <t>Personal</t>
        </is>
      </c>
      <c r="B5" s="158" t="inlineStr">
        <is>
          <t>Montaje</t>
        </is>
      </c>
      <c r="C5" s="158" t="n"/>
      <c r="D5" s="47" t="n"/>
      <c r="E5" s="47" t="n"/>
      <c r="F5" s="47" t="n"/>
      <c r="G5" s="153">
        <f>COMPARATIVA!G5</f>
        <v/>
      </c>
      <c r="H5" s="158" t="inlineStr">
        <is>
          <t>€/h</t>
        </is>
      </c>
      <c r="I5" s="158" t="inlineStr">
        <is>
          <t>ESWood</t>
        </is>
      </c>
      <c r="J5" s="153" t="n">
        <v>23.7</v>
      </c>
      <c r="K5" s="158" t="inlineStr">
        <is>
          <t>H. Extra</t>
        </is>
      </c>
      <c r="L5" s="153" t="n">
        <v>13.52</v>
      </c>
      <c r="M5" s="158" t="inlineStr">
        <is>
          <t>1/2Dieta</t>
        </is>
      </c>
      <c r="N5" s="153" t="n">
        <v>67</v>
      </c>
      <c r="O5" s="158" t="inlineStr">
        <is>
          <t>Dieta completa</t>
        </is>
      </c>
      <c r="P5" s="153" t="n"/>
    </row>
    <row r="6" customFormat="1" s="170">
      <c r="A6" s="158" t="inlineStr">
        <is>
          <t>Personal</t>
        </is>
      </c>
      <c r="B6" s="158" t="inlineStr">
        <is>
          <t>Desmontaje</t>
        </is>
      </c>
      <c r="C6" s="158" t="n"/>
      <c r="D6" s="47" t="n"/>
      <c r="E6" s="47" t="n"/>
      <c r="F6" s="47" t="n"/>
      <c r="G6" s="153">
        <f>COMPARATIVA!G6</f>
        <v/>
      </c>
      <c r="H6" s="158" t="inlineStr">
        <is>
          <t>€/h</t>
        </is>
      </c>
      <c r="I6" s="158" t="inlineStr">
        <is>
          <t>ESWood</t>
        </is>
      </c>
      <c r="J6" s="153" t="n">
        <v>23.7</v>
      </c>
      <c r="K6" s="158" t="inlineStr">
        <is>
          <t>H. Extra</t>
        </is>
      </c>
      <c r="L6" s="153" t="n">
        <v>13.52</v>
      </c>
      <c r="M6" s="158" t="inlineStr">
        <is>
          <t>1/2Dieta</t>
        </is>
      </c>
      <c r="N6" s="153" t="n">
        <v>67</v>
      </c>
      <c r="O6" s="158" t="inlineStr">
        <is>
          <t>Dieta completa</t>
        </is>
      </c>
      <c r="P6" s="153" t="n"/>
    </row>
    <row r="7" customFormat="1" s="170">
      <c r="A7" s="158" t="inlineStr">
        <is>
          <t>Personal</t>
        </is>
      </c>
      <c r="B7" s="158" t="inlineStr">
        <is>
          <t>Externo</t>
        </is>
      </c>
      <c r="C7" s="158" t="inlineStr">
        <is>
          <t>Montaje / Desmontaje Externo al dia</t>
        </is>
      </c>
      <c r="D7" s="47" t="n"/>
      <c r="E7" s="47" t="n"/>
      <c r="F7" s="47" t="n"/>
      <c r="G7" s="153">
        <f>COMPARATIVA!G7</f>
        <v/>
      </c>
      <c r="H7" s="158" t="inlineStr">
        <is>
          <t>dia</t>
        </is>
      </c>
      <c r="I7" s="158" t="inlineStr">
        <is>
          <t>German</t>
        </is>
      </c>
      <c r="J7" s="153" t="n"/>
      <c r="K7" s="158" t="n"/>
      <c r="L7" s="153" t="n"/>
      <c r="M7" s="158" t="n"/>
      <c r="N7" s="153" t="n"/>
      <c r="O7" s="158" t="n"/>
      <c r="P7" s="153" t="n"/>
    </row>
    <row r="8" customFormat="1" s="170">
      <c r="A8" s="158" t="inlineStr">
        <is>
          <t>Personal</t>
        </is>
      </c>
      <c r="B8" s="158" t="inlineStr">
        <is>
          <t xml:space="preserve">Coordinador Externo </t>
        </is>
      </c>
      <c r="C8" s="158" t="inlineStr">
        <is>
          <t xml:space="preserve">Montaje / Desmontaje Coordinador Externo al dia </t>
        </is>
      </c>
      <c r="D8" s="47" t="n"/>
      <c r="E8" s="47" t="n"/>
      <c r="F8" s="47" t="n"/>
      <c r="G8" s="153">
        <f>COMPARATIVA!G8</f>
        <v/>
      </c>
      <c r="H8" s="158" t="inlineStr">
        <is>
          <t>dia</t>
        </is>
      </c>
      <c r="I8" s="158" t="inlineStr">
        <is>
          <t>German</t>
        </is>
      </c>
      <c r="J8" s="153" t="n"/>
      <c r="K8" s="158" t="n"/>
      <c r="L8" s="153" t="n"/>
      <c r="M8" s="158" t="n"/>
      <c r="N8" s="153" t="n"/>
      <c r="O8" s="158" t="n"/>
      <c r="P8" s="153" t="n"/>
    </row>
    <row r="9" customFormat="1" s="170">
      <c r="A9" s="158" t="inlineStr">
        <is>
          <t>Personal</t>
        </is>
      </c>
      <c r="B9" s="158" t="inlineStr">
        <is>
          <t>Externo+Herrameintas</t>
        </is>
      </c>
      <c r="C9" s="158" t="n"/>
      <c r="D9" s="47" t="n"/>
      <c r="E9" s="47" t="n"/>
      <c r="F9" s="47" t="n"/>
      <c r="G9" s="49">
        <f>COMPARATIVA!G9</f>
        <v/>
      </c>
      <c r="H9" s="158" t="inlineStr">
        <is>
          <t>dia</t>
        </is>
      </c>
      <c r="I9" s="158" t="n"/>
      <c r="J9" s="153" t="n"/>
      <c r="K9" s="158" t="n"/>
      <c r="L9" s="153" t="n"/>
      <c r="M9" s="158" t="n"/>
      <c r="N9" s="153" t="n"/>
      <c r="O9" s="158" t="n"/>
      <c r="P9" s="153" t="n"/>
    </row>
    <row r="10" customFormat="1" s="170">
      <c r="A10" s="158" t="inlineStr">
        <is>
          <t>Personal</t>
        </is>
      </c>
      <c r="B10" s="158" t="inlineStr">
        <is>
          <t>Externo+Herrameintas</t>
        </is>
      </c>
      <c r="C10" s="158" t="n"/>
      <c r="D10" s="47" t="n"/>
      <c r="E10" s="47" t="n"/>
      <c r="F10" s="47" t="n"/>
      <c r="G10" s="49">
        <f>COMPARATIVA!G10</f>
        <v/>
      </c>
      <c r="H10" s="158" t="inlineStr">
        <is>
          <t>dia</t>
        </is>
      </c>
      <c r="I10" s="158" t="n"/>
      <c r="J10" s="153" t="n"/>
      <c r="K10" s="158" t="n"/>
      <c r="L10" s="153" t="n"/>
      <c r="M10" s="158" t="n"/>
      <c r="N10" s="153" t="n"/>
      <c r="O10" s="158" t="n"/>
      <c r="P10" s="153" t="n"/>
    </row>
    <row r="11" customFormat="1" s="170">
      <c r="A11" s="158" t="inlineStr">
        <is>
          <t>CNC</t>
        </is>
      </c>
      <c r="B11" s="158" t="inlineStr">
        <is>
          <t>Corte</t>
        </is>
      </c>
      <c r="C11" s="158" t="n"/>
      <c r="D11" s="47" t="n"/>
      <c r="E11" s="47" t="n"/>
      <c r="F11" s="47" t="n"/>
      <c r="G11" s="153">
        <f>COMPARATIVA!G11</f>
        <v/>
      </c>
      <c r="H11" s="158" t="inlineStr">
        <is>
          <t>Tablero</t>
        </is>
      </c>
      <c r="I11" s="158" t="inlineStr">
        <is>
          <t>ESWood</t>
        </is>
      </c>
      <c r="J11" s="153" t="n"/>
      <c r="K11" s="158" t="n"/>
      <c r="L11" s="153" t="n"/>
      <c r="M11" s="158" t="n"/>
      <c r="N11" s="153" t="n"/>
      <c r="O11" s="158" t="n"/>
      <c r="P11" s="153" t="n"/>
    </row>
    <row r="12" customFormat="1" s="170">
      <c r="A12" s="45" t="n"/>
      <c r="B12" s="45" t="n"/>
      <c r="C12" s="45" t="n"/>
      <c r="D12" s="45" t="n"/>
      <c r="E12" s="45" t="n"/>
      <c r="F12" s="45" t="n"/>
      <c r="G12" s="46" t="n"/>
      <c r="H12" s="45" t="n"/>
      <c r="I12" s="45" t="n"/>
      <c r="J12" s="46" t="n"/>
      <c r="K12" s="45" t="n"/>
      <c r="L12" s="46" t="n"/>
      <c r="M12" s="45" t="n"/>
      <c r="N12" s="46" t="n"/>
      <c r="O12" s="45" t="n"/>
      <c r="P12" s="45" t="n"/>
    </row>
    <row r="13" customFormat="1" s="170">
      <c r="A13" s="158" t="inlineStr">
        <is>
          <t>Tablero</t>
        </is>
      </c>
      <c r="B13" s="158" t="inlineStr">
        <is>
          <t>Mel. Blanca</t>
        </is>
      </c>
      <c r="C13" s="158" t="inlineStr">
        <is>
          <t>Melamina Blanco K-110 PE 2/c Sef 16 mm</t>
        </is>
      </c>
      <c r="D13" s="158" t="n">
        <v>2800</v>
      </c>
      <c r="E13" s="158" t="n">
        <v>2070</v>
      </c>
      <c r="F13" s="158" t="n">
        <v>16</v>
      </c>
      <c r="G13" s="153">
        <f>COMPARATIVA!G13</f>
        <v/>
      </c>
      <c r="H13" s="158" t="inlineStr">
        <is>
          <t>€/m2</t>
        </is>
      </c>
      <c r="I13" s="158">
        <f>COMPARATIVA!I13</f>
        <v/>
      </c>
      <c r="J13" s="153">
        <f>COMPARATIVA!J13</f>
        <v/>
      </c>
      <c r="K13" s="158" t="inlineStr">
        <is>
          <t>Corte (+/-m2)</t>
        </is>
      </c>
      <c r="L13" s="146">
        <f>COMPARATIVA!L13</f>
        <v/>
      </c>
      <c r="M13" s="158" t="inlineStr">
        <is>
          <t>Cadel</t>
        </is>
      </c>
      <c r="N13" s="153" t="n"/>
      <c r="O13" s="158" t="n"/>
      <c r="P13" s="153">
        <f>((D13/1000)*(E13/1000))*G13</f>
        <v/>
      </c>
    </row>
    <row r="14" customFormat="1" s="170">
      <c r="A14" s="158" t="inlineStr">
        <is>
          <t>Tablero</t>
        </is>
      </c>
      <c r="B14" s="158" t="inlineStr">
        <is>
          <t>Mel. Negra</t>
        </is>
      </c>
      <c r="C14" s="158" t="inlineStr">
        <is>
          <t>Melamina Negra U-190 VL 16 mm</t>
        </is>
      </c>
      <c r="D14" s="158" t="n">
        <v>2800</v>
      </c>
      <c r="E14" s="158" t="n">
        <v>2070</v>
      </c>
      <c r="F14" s="158" t="n">
        <v>16</v>
      </c>
      <c r="G14" s="153">
        <f>COMPARATIVA!G17</f>
        <v/>
      </c>
      <c r="H14" s="158" t="inlineStr">
        <is>
          <t>€/m2</t>
        </is>
      </c>
      <c r="I14" s="158">
        <f>COMPARATIVA!I17</f>
        <v/>
      </c>
      <c r="J14" s="153">
        <f>COMPARATIVA!J17</f>
        <v/>
      </c>
      <c r="K14" s="158" t="inlineStr">
        <is>
          <t>Corte (+/-m2)</t>
        </is>
      </c>
      <c r="L14" s="146">
        <f>COMPARATIVA!L17</f>
        <v/>
      </c>
      <c r="M14" s="158" t="inlineStr">
        <is>
          <t>Cadel</t>
        </is>
      </c>
      <c r="N14" s="153" t="n"/>
      <c r="O14" s="158" t="n"/>
      <c r="P14" s="153">
        <f>((D14/1000)*(E14/1000))*G14</f>
        <v/>
      </c>
    </row>
    <row r="15" customFormat="1" s="64">
      <c r="A15" s="158" t="inlineStr">
        <is>
          <t>Tablero</t>
        </is>
      </c>
      <c r="B15" s="158" t="inlineStr">
        <is>
          <t>Mel. Velvet</t>
        </is>
      </c>
      <c r="C15" s="158" t="inlineStr">
        <is>
          <t>Melamina Velvet Oak D-2693 MW 16 mm</t>
        </is>
      </c>
      <c r="D15" s="158" t="n">
        <v>2800</v>
      </c>
      <c r="E15" s="158" t="n">
        <v>2070</v>
      </c>
      <c r="F15" s="158" t="n">
        <v>16</v>
      </c>
      <c r="G15" s="49" t="n">
        <v>10</v>
      </c>
      <c r="H15" s="158" t="inlineStr">
        <is>
          <t>€/m2</t>
        </is>
      </c>
      <c r="I15" s="158" t="inlineStr">
        <is>
          <t>Mausa</t>
        </is>
      </c>
      <c r="J15" s="153">
        <f>COMPARATIVA!J20</f>
        <v/>
      </c>
      <c r="K15" s="158" t="inlineStr">
        <is>
          <t>Corte (+/-m2)</t>
        </is>
      </c>
      <c r="L15" s="65" t="n">
        <v>1.35</v>
      </c>
      <c r="M15" s="158" t="inlineStr">
        <is>
          <t>Cadel</t>
        </is>
      </c>
      <c r="N15" s="153" t="n"/>
      <c r="O15" s="158" t="n"/>
      <c r="P15" s="153">
        <f>((D15/1000)*(E15/1000))*G15</f>
        <v/>
      </c>
    </row>
    <row r="16" customFormat="1" s="64">
      <c r="A16" s="158" t="inlineStr">
        <is>
          <t>Tablero</t>
        </is>
      </c>
      <c r="B16" s="158" t="inlineStr">
        <is>
          <t>Mel. Niagra</t>
        </is>
      </c>
      <c r="C16" s="158" t="inlineStr">
        <is>
          <t>Melamina Niagara Oak D-2240 VL 16 mm</t>
        </is>
      </c>
      <c r="D16" s="158" t="n">
        <v>2800</v>
      </c>
      <c r="E16" s="158" t="n">
        <v>2070</v>
      </c>
      <c r="F16" s="158" t="n">
        <v>16</v>
      </c>
      <c r="G16" s="153">
        <f>COMPARATIVA!G21</f>
        <v/>
      </c>
      <c r="H16" s="158" t="inlineStr">
        <is>
          <t>€/m2</t>
        </is>
      </c>
      <c r="I16" s="158">
        <f>COMPARATIVA!I21</f>
        <v/>
      </c>
      <c r="J16" s="153">
        <f>COMPARATIVA!J21</f>
        <v/>
      </c>
      <c r="K16" s="158" t="inlineStr">
        <is>
          <t>Corte (+/-m2)</t>
        </is>
      </c>
      <c r="L16" s="65" t="n">
        <v>1.35</v>
      </c>
      <c r="M16" s="158" t="inlineStr">
        <is>
          <t>Cadel</t>
        </is>
      </c>
      <c r="N16" s="153" t="n"/>
      <c r="O16" s="158" t="n"/>
      <c r="P16" s="153">
        <f>((D16/1000)*(E16/1000))*G16</f>
        <v/>
      </c>
    </row>
    <row r="17" customFormat="1" s="64">
      <c r="A17" s="158" t="inlineStr">
        <is>
          <t>Tablero</t>
        </is>
      </c>
      <c r="B17" s="61" t="inlineStr">
        <is>
          <t>Mel. Epecial</t>
        </is>
      </c>
      <c r="C17" s="158" t="n"/>
      <c r="D17" s="158" t="n">
        <v>2800</v>
      </c>
      <c r="E17" s="158" t="n">
        <v>2070</v>
      </c>
      <c r="F17" s="158" t="n">
        <v>16</v>
      </c>
      <c r="G17" s="49" t="n">
        <v>13</v>
      </c>
      <c r="H17" s="158" t="inlineStr">
        <is>
          <t>€/m2</t>
        </is>
      </c>
      <c r="I17" s="158">
        <f>COMPARATIVA!I22</f>
        <v/>
      </c>
      <c r="J17" s="153">
        <f>COMPARATIVA!J22</f>
        <v/>
      </c>
      <c r="K17" s="158" t="inlineStr">
        <is>
          <t>Corte (+/-m2)</t>
        </is>
      </c>
      <c r="L17" s="65" t="n">
        <v>1.35</v>
      </c>
      <c r="M17" s="158" t="inlineStr">
        <is>
          <t>Cadel</t>
        </is>
      </c>
      <c r="N17" s="153" t="n"/>
      <c r="O17" s="158" t="n"/>
      <c r="P17" s="153">
        <f>((D17/1000)*(E17/1000))*G17</f>
        <v/>
      </c>
    </row>
    <row r="18" customFormat="1" s="64">
      <c r="A18" s="158" t="inlineStr">
        <is>
          <t>Formica</t>
        </is>
      </c>
      <c r="B18" s="61" t="inlineStr">
        <is>
          <t>Blanca</t>
        </is>
      </c>
      <c r="C18" s="158" t="inlineStr">
        <is>
          <t>Formica HPL</t>
        </is>
      </c>
      <c r="D18" s="158" t="n"/>
      <c r="E18" s="158" t="n"/>
      <c r="F18" s="86" t="n">
        <v>0.8</v>
      </c>
      <c r="G18" s="166" t="n">
        <v>15</v>
      </c>
      <c r="H18" s="158" t="inlineStr">
        <is>
          <t>€/m2</t>
        </is>
      </c>
      <c r="I18" s="86" t="inlineStr">
        <is>
          <t>Gabarro</t>
        </is>
      </c>
      <c r="J18" s="167" t="n"/>
      <c r="K18" s="158" t="n"/>
      <c r="L18" s="65" t="n"/>
      <c r="M18" s="158" t="n"/>
      <c r="N18" s="153" t="n"/>
      <c r="O18" s="158" t="n"/>
      <c r="P18" s="153">
        <f>((D18/1000)*(E18/1000))*G18</f>
        <v/>
      </c>
    </row>
    <row r="19" customFormat="1" s="170">
      <c r="A19" s="45" t="n"/>
      <c r="B19" s="45" t="n"/>
      <c r="C19" s="45" t="n"/>
      <c r="D19" s="45" t="n"/>
      <c r="E19" s="45" t="n"/>
      <c r="F19" s="63" t="n"/>
      <c r="G19" s="63" t="n"/>
      <c r="H19" s="63" t="n"/>
      <c r="I19" s="63" t="n"/>
      <c r="J19" s="63" t="n"/>
      <c r="K19" s="45" t="n"/>
      <c r="L19" s="46" t="n"/>
      <c r="M19" s="45" t="n"/>
      <c r="N19" s="46" t="n"/>
      <c r="O19" s="45" t="n"/>
      <c r="P19" s="45" t="n"/>
    </row>
    <row r="20" customFormat="1" s="170">
      <c r="A20" s="158" t="inlineStr">
        <is>
          <t>Tablero</t>
        </is>
      </c>
      <c r="B20" s="158" t="inlineStr">
        <is>
          <t>Aglomerado</t>
        </is>
      </c>
      <c r="C20" s="158" t="inlineStr">
        <is>
          <t>Aglomerado 1a standard 16mm</t>
        </is>
      </c>
      <c r="D20" s="158" t="n">
        <v>2800</v>
      </c>
      <c r="E20" s="158" t="n">
        <v>2070</v>
      </c>
      <c r="F20" s="158" t="n">
        <v>16</v>
      </c>
      <c r="G20" s="153">
        <f>COMPARATIVA!G24</f>
        <v/>
      </c>
      <c r="H20" s="158" t="inlineStr">
        <is>
          <t>€/m2</t>
        </is>
      </c>
      <c r="I20" s="158">
        <f>COMPARATIVA!I24</f>
        <v/>
      </c>
      <c r="J20" s="153">
        <f>COMPARATIVA!J24</f>
        <v/>
      </c>
      <c r="K20" s="158" t="inlineStr">
        <is>
          <t>Corte (+/-m2)</t>
        </is>
      </c>
      <c r="L20" s="153">
        <f>COMPARATIVA!L24</f>
        <v/>
      </c>
      <c r="M20" s="158" t="inlineStr">
        <is>
          <t>Cadel</t>
        </is>
      </c>
      <c r="N20" s="153" t="n"/>
      <c r="O20" s="158" t="n"/>
      <c r="P20" s="153">
        <f>((D20/1000)*(E20/1000))*G20</f>
        <v/>
      </c>
    </row>
    <row r="21" customFormat="1" s="170">
      <c r="A21" s="158" t="inlineStr">
        <is>
          <t>Tablero</t>
        </is>
      </c>
      <c r="B21" s="158" t="inlineStr">
        <is>
          <t>Aglomerado</t>
        </is>
      </c>
      <c r="C21" s="158" t="inlineStr">
        <is>
          <t>Aglomerado 1a standard 19mm</t>
        </is>
      </c>
      <c r="D21" s="158" t="n">
        <v>2800</v>
      </c>
      <c r="E21" s="158" t="n">
        <v>2070</v>
      </c>
      <c r="F21" s="158" t="n">
        <v>19</v>
      </c>
      <c r="G21" s="49">
        <f>COMPARATIVA!G35</f>
        <v/>
      </c>
      <c r="H21" s="158" t="inlineStr">
        <is>
          <t>€/m2</t>
        </is>
      </c>
      <c r="I21" s="158">
        <f>COMPARATIVA!I35</f>
        <v/>
      </c>
      <c r="J21" s="153">
        <f>COMPARATIVA!J35</f>
        <v/>
      </c>
      <c r="K21" s="158" t="inlineStr">
        <is>
          <t>Corte (+/-m2)</t>
        </is>
      </c>
      <c r="L21" s="153">
        <f>COMPARATIVA!L35</f>
        <v/>
      </c>
      <c r="M21" s="158" t="inlineStr">
        <is>
          <t>Cadel</t>
        </is>
      </c>
      <c r="N21" s="153" t="n"/>
      <c r="O21" s="158" t="n"/>
      <c r="P21" s="153">
        <f>((D21/1000)*(E21/1000))*G21</f>
        <v/>
      </c>
    </row>
    <row r="22" customFormat="1" s="170">
      <c r="A22" s="45" t="n"/>
      <c r="B22" s="45" t="n"/>
      <c r="C22" s="45" t="n"/>
      <c r="D22" s="45" t="n"/>
      <c r="E22" s="45" t="n"/>
      <c r="F22" s="45" t="n"/>
      <c r="G22" s="46" t="n"/>
      <c r="H22" s="45" t="n"/>
      <c r="I22" s="56" t="n"/>
      <c r="J22" s="46" t="n"/>
      <c r="K22" s="45" t="n"/>
      <c r="L22" s="46" t="n"/>
      <c r="M22" s="45" t="n"/>
      <c r="N22" s="62" t="n"/>
      <c r="O22" s="56" t="n"/>
      <c r="P22" s="45" t="n"/>
    </row>
    <row r="23" customFormat="1" s="170">
      <c r="A23" s="158" t="inlineStr">
        <is>
          <t>Tablero</t>
        </is>
      </c>
      <c r="B23" s="158" t="inlineStr">
        <is>
          <t>MDF</t>
        </is>
      </c>
      <c r="C23" s="158" t="inlineStr">
        <is>
          <t>Tablex Blanco 5mm (Zocalo)</t>
        </is>
      </c>
      <c r="D23" s="158" t="n">
        <v>2440</v>
      </c>
      <c r="E23" s="158" t="n">
        <v>1220</v>
      </c>
      <c r="F23" s="158" t="n">
        <v>5</v>
      </c>
      <c r="G23" s="158">
        <f>COMPARATIVA!G37</f>
        <v/>
      </c>
      <c r="H23" s="158" t="inlineStr">
        <is>
          <t>€/m2</t>
        </is>
      </c>
      <c r="I23" s="158">
        <f>COMPARATIVA!I37</f>
        <v/>
      </c>
      <c r="J23" s="49">
        <f>COMPARATIVA!J37</f>
        <v/>
      </c>
      <c r="K23" s="158" t="inlineStr">
        <is>
          <t>Corte (+/-m2)</t>
        </is>
      </c>
      <c r="L23" s="153" t="n"/>
      <c r="M23" s="158" t="n"/>
      <c r="N23" s="153" t="n"/>
      <c r="O23" s="158" t="n"/>
      <c r="P23" s="153">
        <f>((D23/1000)*(E23/1000))*G23</f>
        <v/>
      </c>
    </row>
    <row r="24" customFormat="1" s="170">
      <c r="A24" s="158" t="inlineStr">
        <is>
          <t>Tablero</t>
        </is>
      </c>
      <c r="B24" s="158" t="inlineStr">
        <is>
          <t>MDF</t>
        </is>
      </c>
      <c r="C24" s="158" t="inlineStr">
        <is>
          <t>Tablex Negro 5mm (Zocalo)</t>
        </is>
      </c>
      <c r="D24" s="158" t="n">
        <v>2440</v>
      </c>
      <c r="E24" s="158" t="n">
        <v>1220</v>
      </c>
      <c r="F24" s="158" t="n">
        <v>5</v>
      </c>
      <c r="G24" s="61">
        <f>COMPARATIVA!G39</f>
        <v/>
      </c>
      <c r="H24" s="158" t="inlineStr">
        <is>
          <t>€/m2</t>
        </is>
      </c>
      <c r="I24" s="158">
        <f>COMPARATIVA!I39</f>
        <v/>
      </c>
      <c r="J24" s="49">
        <f>COMPARATIVA!J39</f>
        <v/>
      </c>
      <c r="K24" s="158" t="inlineStr">
        <is>
          <t>Corte (+/-m2)</t>
        </is>
      </c>
      <c r="L24" s="153" t="n"/>
      <c r="M24" s="158" t="n"/>
      <c r="N24" s="153" t="n"/>
      <c r="O24" s="158" t="n"/>
      <c r="P24" s="153">
        <f>((D24/1000)*(E24/1000))*G24</f>
        <v/>
      </c>
    </row>
    <row r="25" customFormat="1" s="170">
      <c r="A25" s="158" t="inlineStr">
        <is>
          <t>Tablero</t>
        </is>
      </c>
      <c r="B25" s="158" t="inlineStr">
        <is>
          <t>MDF</t>
        </is>
      </c>
      <c r="C25" s="158" t="inlineStr">
        <is>
          <t>MDF Standard 3 mm</t>
        </is>
      </c>
      <c r="D25" s="158" t="n">
        <v>2440</v>
      </c>
      <c r="E25" s="158" t="n">
        <v>1220</v>
      </c>
      <c r="F25" s="158" t="n">
        <v>3</v>
      </c>
      <c r="G25" s="61">
        <f>COMPARATIVA!G41</f>
        <v/>
      </c>
      <c r="H25" s="158" t="inlineStr">
        <is>
          <t>€/m2</t>
        </is>
      </c>
      <c r="I25" s="158">
        <f>COMPARATIVA!I41</f>
        <v/>
      </c>
      <c r="J25" s="49">
        <f>COMPARATIVA!J41</f>
        <v/>
      </c>
      <c r="K25" s="158" t="inlineStr">
        <is>
          <t>Corte (+/-m2)</t>
        </is>
      </c>
      <c r="L25" s="153" t="n"/>
      <c r="M25" s="158" t="n"/>
      <c r="N25" s="153" t="n"/>
      <c r="O25" s="158" t="n"/>
      <c r="P25" s="153">
        <f>((D25/1000)*(E25/1000))*G25</f>
        <v/>
      </c>
    </row>
    <row r="26" customFormat="1" s="170">
      <c r="A26" s="158" t="inlineStr">
        <is>
          <t>Tablero</t>
        </is>
      </c>
      <c r="B26" s="158" t="inlineStr">
        <is>
          <t>MDF</t>
        </is>
      </c>
      <c r="C26" s="158" t="inlineStr">
        <is>
          <t>MDF Standard 5 mm</t>
        </is>
      </c>
      <c r="D26" s="158" t="n">
        <v>2440</v>
      </c>
      <c r="E26" s="158" t="n">
        <v>1220</v>
      </c>
      <c r="F26" s="158" t="n">
        <v>5</v>
      </c>
      <c r="G26" s="158">
        <f>COMPARATIVA!G42</f>
        <v/>
      </c>
      <c r="H26" s="158" t="inlineStr">
        <is>
          <t>€/m2</t>
        </is>
      </c>
      <c r="I26" s="158">
        <f>COMPARATIVA!I42</f>
        <v/>
      </c>
      <c r="J26" s="49">
        <f>COMPARATIVA!J42</f>
        <v/>
      </c>
      <c r="K26" s="158" t="inlineStr">
        <is>
          <t>Corte (+/-m2)</t>
        </is>
      </c>
      <c r="L26" s="146" t="n"/>
      <c r="M26" s="158" t="n"/>
      <c r="N26" s="153" t="n"/>
      <c r="O26" s="158" t="n"/>
      <c r="P26" s="153">
        <f>((D26/1000)*(E26/1000))*G26</f>
        <v/>
      </c>
    </row>
    <row r="27" customFormat="1" s="170">
      <c r="A27" s="158" t="inlineStr">
        <is>
          <t>Tablero</t>
        </is>
      </c>
      <c r="B27" s="158" t="inlineStr">
        <is>
          <t>MDF</t>
        </is>
      </c>
      <c r="C27" s="158" t="inlineStr">
        <is>
          <t>MDF Standard 16 mm</t>
        </is>
      </c>
      <c r="D27" s="158" t="n">
        <v>3660</v>
      </c>
      <c r="E27" s="158" t="n">
        <v>2070</v>
      </c>
      <c r="F27" s="158" t="n">
        <v>16</v>
      </c>
      <c r="G27" s="158">
        <f>COMPARATIVA!G46</f>
        <v/>
      </c>
      <c r="H27" s="158" t="inlineStr">
        <is>
          <t>€/m2</t>
        </is>
      </c>
      <c r="I27" s="156">
        <f>COMPARATIVA!I46</f>
        <v/>
      </c>
      <c r="J27" s="49">
        <f>COMPARATIVA!J46</f>
        <v/>
      </c>
      <c r="K27" s="158" t="inlineStr">
        <is>
          <t>Corte (+/-m2)</t>
        </is>
      </c>
      <c r="L27" s="65">
        <f>COMPARATIVA!L46</f>
        <v/>
      </c>
      <c r="M27" s="158" t="inlineStr">
        <is>
          <t>Cadel</t>
        </is>
      </c>
      <c r="N27" s="153" t="n"/>
      <c r="O27" s="158" t="n"/>
      <c r="P27" s="153">
        <f>((D27/1000)*(E27/1000))*G27</f>
        <v/>
      </c>
    </row>
    <row r="28" customFormat="1" s="170">
      <c r="A28" s="158" t="inlineStr">
        <is>
          <t>Tablero</t>
        </is>
      </c>
      <c r="B28" s="158" t="inlineStr">
        <is>
          <t>MDF</t>
        </is>
      </c>
      <c r="C28" s="158" t="inlineStr">
        <is>
          <t>MDF Standard 19 mm</t>
        </is>
      </c>
      <c r="D28" s="158" t="n">
        <v>3660</v>
      </c>
      <c r="E28" s="158" t="n">
        <v>2070</v>
      </c>
      <c r="F28" s="158" t="n">
        <v>19</v>
      </c>
      <c r="G28" s="158">
        <f>COMPARATIVA!G51</f>
        <v/>
      </c>
      <c r="H28" s="158" t="inlineStr">
        <is>
          <t>€/m2</t>
        </is>
      </c>
      <c r="I28" s="156">
        <f>COMPARATIVA!I51</f>
        <v/>
      </c>
      <c r="J28" s="49">
        <f>COMPARATIVA!J51</f>
        <v/>
      </c>
      <c r="K28" s="158" t="inlineStr">
        <is>
          <t>Corte (+/-m2)</t>
        </is>
      </c>
      <c r="L28" s="65">
        <f>COMPARATIVA!L51</f>
        <v/>
      </c>
      <c r="M28" s="158" t="inlineStr">
        <is>
          <t>Cadel</t>
        </is>
      </c>
      <c r="N28" s="153" t="n"/>
      <c r="O28" s="158" t="n"/>
      <c r="P28" s="153">
        <f>((D28/1000)*(E28/1000))*G28</f>
        <v/>
      </c>
    </row>
    <row r="29" customFormat="1" s="170">
      <c r="A29" s="45" t="n"/>
      <c r="B29" s="45" t="n"/>
      <c r="C29" s="45" t="n"/>
      <c r="D29" s="45" t="n"/>
      <c r="E29" s="45" t="n"/>
      <c r="F29" s="45" t="n"/>
      <c r="G29" s="46" t="n"/>
      <c r="H29" s="45" t="n"/>
      <c r="I29" s="45" t="n"/>
      <c r="J29" s="58" t="n"/>
      <c r="K29" s="57" t="n"/>
      <c r="L29" s="58" t="n"/>
      <c r="M29" s="57" t="n"/>
      <c r="N29" s="46" t="n"/>
      <c r="O29" s="45" t="n"/>
      <c r="P29" s="45" t="n"/>
    </row>
    <row r="30" customFormat="1" s="170">
      <c r="A30" s="158" t="inlineStr">
        <is>
          <t>Tablero</t>
        </is>
      </c>
      <c r="B30" s="158" t="inlineStr">
        <is>
          <t>Chopo</t>
        </is>
      </c>
      <c r="C30" s="158" t="inlineStr">
        <is>
          <t>BB/BB</t>
        </is>
      </c>
      <c r="D30" s="158" t="n">
        <v>2500</v>
      </c>
      <c r="E30" s="158" t="n">
        <v>1220</v>
      </c>
      <c r="F30" s="158" t="n">
        <v>5</v>
      </c>
      <c r="G30" s="153">
        <f>COMPARATIVA!G57</f>
        <v/>
      </c>
      <c r="H30" s="158" t="inlineStr">
        <is>
          <t>€/m2</t>
        </is>
      </c>
      <c r="I30" s="158">
        <f>COMPARATIVA!I57</f>
        <v/>
      </c>
      <c r="J30" s="153" t="n"/>
      <c r="K30" s="158" t="n"/>
      <c r="L30" s="153" t="n"/>
      <c r="M30" s="158" t="n"/>
      <c r="N30" s="153" t="n"/>
      <c r="O30" s="158" t="n"/>
      <c r="P30" s="153">
        <f>((D30/1000)*(E30/1000))*G30</f>
        <v/>
      </c>
    </row>
    <row r="31" customFormat="1" s="170">
      <c r="A31" s="158" t="inlineStr">
        <is>
          <t>Tablero</t>
        </is>
      </c>
      <c r="B31" s="158" t="inlineStr">
        <is>
          <t>Chopo Felx.</t>
        </is>
      </c>
      <c r="C31" s="158" t="inlineStr">
        <is>
          <t>Tablero Fromager flexible 5 mm  (mostrador)</t>
        </is>
      </c>
      <c r="D31" s="158" t="n">
        <v>1220</v>
      </c>
      <c r="E31" s="158" t="n">
        <v>2500</v>
      </c>
      <c r="F31" s="158" t="n">
        <v>5</v>
      </c>
      <c r="G31" s="153">
        <f>COMPARATIVA!G62</f>
        <v/>
      </c>
      <c r="H31" s="158" t="inlineStr">
        <is>
          <t>€/m2</t>
        </is>
      </c>
      <c r="I31" s="158">
        <f>COMPARATIVA!I62</f>
        <v/>
      </c>
      <c r="J31" s="153" t="n"/>
      <c r="K31" s="158" t="n"/>
      <c r="L31" s="153" t="n"/>
      <c r="M31" s="158" t="n"/>
      <c r="N31" s="153" t="n"/>
      <c r="O31" s="158" t="n"/>
      <c r="P31" s="153">
        <f>((D31/1000)*(E31/1000))*G31</f>
        <v/>
      </c>
    </row>
    <row r="32" customFormat="1" s="170">
      <c r="A32" s="158" t="inlineStr">
        <is>
          <t>Tablero</t>
        </is>
      </c>
      <c r="B32" s="158" t="inlineStr">
        <is>
          <t>Chopo Felx.</t>
        </is>
      </c>
      <c r="C32" s="158" t="inlineStr">
        <is>
          <t>Tablero Fromager flexible 5 mm  (Columna)</t>
        </is>
      </c>
      <c r="D32" s="158" t="n">
        <v>1220</v>
      </c>
      <c r="E32" s="158" t="n">
        <v>2500</v>
      </c>
      <c r="F32" s="158" t="n">
        <v>5</v>
      </c>
      <c r="G32" s="153">
        <f>COMPARATIVA!G66</f>
        <v/>
      </c>
      <c r="H32" s="158" t="inlineStr">
        <is>
          <t>€/m2</t>
        </is>
      </c>
      <c r="I32" s="158">
        <f>COMPARATIVA!I66</f>
        <v/>
      </c>
      <c r="J32" s="153" t="n"/>
      <c r="K32" s="158" t="n"/>
      <c r="L32" s="153" t="n"/>
      <c r="M32" s="158" t="n"/>
      <c r="N32" s="153" t="n"/>
      <c r="O32" s="158" t="n"/>
      <c r="P32" s="153">
        <f>((D32/1000)*(E32/1000))*G32</f>
        <v/>
      </c>
    </row>
    <row r="33" customFormat="1" s="170">
      <c r="A33" s="158" t="inlineStr">
        <is>
          <t>Tablero</t>
        </is>
      </c>
      <c r="B33" s="158" t="inlineStr">
        <is>
          <t>Chopo</t>
        </is>
      </c>
      <c r="C33" s="158" t="inlineStr">
        <is>
          <t>BB/BB</t>
        </is>
      </c>
      <c r="D33" s="158" t="n">
        <v>2500</v>
      </c>
      <c r="E33" s="158" t="n">
        <v>1220</v>
      </c>
      <c r="F33" s="158" t="n">
        <v>10</v>
      </c>
      <c r="G33" s="49">
        <f>COMPARATIVA!G69</f>
        <v/>
      </c>
      <c r="H33" s="158" t="inlineStr">
        <is>
          <t>€/m2</t>
        </is>
      </c>
      <c r="I33" s="158">
        <f>COMPARATIVA!I69</f>
        <v/>
      </c>
      <c r="J33" s="153" t="n"/>
      <c r="K33" s="158" t="n"/>
      <c r="L33" s="153" t="n"/>
      <c r="M33" s="158" t="n"/>
      <c r="N33" s="153" t="n"/>
      <c r="O33" s="158" t="n"/>
      <c r="P33" s="153">
        <f>((D33/1000)*(E33/1000))*G33</f>
        <v/>
      </c>
    </row>
    <row r="34" customFormat="1" s="170">
      <c r="A34" s="158" t="inlineStr">
        <is>
          <t>Tablero</t>
        </is>
      </c>
      <c r="B34" s="158" t="inlineStr">
        <is>
          <t>Chopo</t>
        </is>
      </c>
      <c r="C34" s="158" t="inlineStr">
        <is>
          <t>BB/BB</t>
        </is>
      </c>
      <c r="D34" s="158" t="n">
        <v>2500</v>
      </c>
      <c r="E34" s="158" t="n">
        <v>1220</v>
      </c>
      <c r="F34" s="158" t="n">
        <v>15</v>
      </c>
      <c r="G34" s="158">
        <f>COMPARATIVA!G70</f>
        <v/>
      </c>
      <c r="H34" s="158" t="inlineStr">
        <is>
          <t>€/m2</t>
        </is>
      </c>
      <c r="I34" s="158">
        <f>COMPARATIVA!I70</f>
        <v/>
      </c>
      <c r="J34" s="153" t="n"/>
      <c r="K34" s="158" t="n"/>
      <c r="L34" s="153" t="n"/>
      <c r="M34" s="158" t="n"/>
      <c r="N34" s="153" t="n"/>
      <c r="O34" s="158" t="n"/>
      <c r="P34" s="153">
        <f>((D34/1000)*(E34/1000))*G34</f>
        <v/>
      </c>
    </row>
    <row r="35" customFormat="1" s="170">
      <c r="A35" s="45" t="n"/>
      <c r="B35" s="45" t="n"/>
      <c r="C35" s="45" t="n"/>
      <c r="D35" s="45" t="n"/>
      <c r="E35" s="45" t="n"/>
      <c r="F35" s="45" t="n"/>
      <c r="G35" s="45" t="n"/>
      <c r="H35" s="45" t="n"/>
      <c r="I35" s="45" t="n"/>
      <c r="J35" s="58" t="n"/>
      <c r="K35" s="57" t="n"/>
      <c r="L35" s="58" t="n"/>
      <c r="M35" s="57" t="n"/>
      <c r="N35" s="46" t="n"/>
      <c r="O35" s="45" t="n"/>
      <c r="P35" s="45" t="n"/>
    </row>
    <row r="36" customFormat="1" s="170">
      <c r="A36" s="158" t="inlineStr">
        <is>
          <t>Tablero</t>
        </is>
      </c>
      <c r="B36" s="158" t="inlineStr">
        <is>
          <t>OSB</t>
        </is>
      </c>
      <c r="C36" s="158" t="inlineStr">
        <is>
          <t xml:space="preserve">Tablero OSB 3 XOP </t>
        </is>
      </c>
      <c r="D36" s="158" t="n">
        <v>2500</v>
      </c>
      <c r="E36" s="158" t="n">
        <v>1250</v>
      </c>
      <c r="F36" s="158" t="n">
        <v>9</v>
      </c>
      <c r="G36" s="158">
        <f>COMPARATIVA!G75</f>
        <v/>
      </c>
      <c r="H36" s="158" t="inlineStr">
        <is>
          <t>€/m2</t>
        </is>
      </c>
      <c r="I36" s="158">
        <f>COMPARATIVA!I75</f>
        <v/>
      </c>
      <c r="J36" s="153" t="n"/>
      <c r="K36" s="158" t="n"/>
      <c r="L36" s="153" t="n"/>
      <c r="M36" s="158" t="n"/>
      <c r="N36" s="153" t="n"/>
      <c r="O36" s="158" t="n"/>
      <c r="P36" s="153" t="n"/>
    </row>
    <row r="37" customFormat="1" s="170">
      <c r="A37" s="158" t="inlineStr">
        <is>
          <t>Tablero</t>
        </is>
      </c>
      <c r="B37" s="158" t="inlineStr">
        <is>
          <t>OSB</t>
        </is>
      </c>
      <c r="C37" s="158" t="inlineStr">
        <is>
          <t xml:space="preserve">Tablero OSB 3 XOP </t>
        </is>
      </c>
      <c r="D37" s="158" t="n">
        <v>2500</v>
      </c>
      <c r="E37" s="158" t="n">
        <v>1250</v>
      </c>
      <c r="F37" s="158" t="n">
        <v>15</v>
      </c>
      <c r="G37" s="158">
        <f>COMPARATIVA!G76</f>
        <v/>
      </c>
      <c r="H37" s="158" t="inlineStr">
        <is>
          <t>€/m2</t>
        </is>
      </c>
      <c r="I37" s="158">
        <f>COMPARATIVA!I76</f>
        <v/>
      </c>
      <c r="J37" s="153" t="n"/>
      <c r="K37" s="158" t="n"/>
      <c r="L37" s="153" t="n"/>
      <c r="M37" s="158" t="n"/>
      <c r="N37" s="153" t="n"/>
      <c r="O37" s="158" t="n"/>
      <c r="P37" s="153" t="n"/>
    </row>
    <row r="38" customFormat="1" s="170">
      <c r="A38" s="158" t="inlineStr">
        <is>
          <t>Tablero</t>
        </is>
      </c>
      <c r="B38" s="158" t="inlineStr">
        <is>
          <t>OSB</t>
        </is>
      </c>
      <c r="C38" s="158" t="inlineStr">
        <is>
          <t xml:space="preserve">Tablero OSB 3 XOP </t>
        </is>
      </c>
      <c r="D38" s="158" t="n">
        <v>2500</v>
      </c>
      <c r="E38" s="158" t="n">
        <v>1250</v>
      </c>
      <c r="F38" s="158" t="n">
        <v>18</v>
      </c>
      <c r="G38" s="158">
        <f>COMPARATIVA!G77</f>
        <v/>
      </c>
      <c r="H38" s="158" t="inlineStr">
        <is>
          <t>€/m2</t>
        </is>
      </c>
      <c r="I38" s="158">
        <f>COMPARATIVA!I77</f>
        <v/>
      </c>
      <c r="J38" s="153" t="n"/>
      <c r="K38" s="158" t="n"/>
      <c r="L38" s="153" t="n"/>
      <c r="M38" s="158" t="n"/>
      <c r="N38" s="153" t="n"/>
      <c r="O38" s="158" t="n"/>
      <c r="P38" s="153" t="n"/>
    </row>
    <row r="39" customFormat="1" s="170">
      <c r="A39" s="158" t="inlineStr">
        <is>
          <t>Tablero</t>
        </is>
      </c>
      <c r="B39" s="158" t="inlineStr">
        <is>
          <t>OSB</t>
        </is>
      </c>
      <c r="C39" s="158" t="inlineStr">
        <is>
          <t xml:space="preserve">Tablero OSB 3 XOP </t>
        </is>
      </c>
      <c r="D39" s="158" t="n">
        <v>2500</v>
      </c>
      <c r="E39" s="158" t="n">
        <v>1250</v>
      </c>
      <c r="F39" s="158" t="n">
        <v>22</v>
      </c>
      <c r="G39" s="158">
        <f>COMPARATIVA!G78</f>
        <v/>
      </c>
      <c r="H39" s="158" t="inlineStr">
        <is>
          <t>€/m2</t>
        </is>
      </c>
      <c r="I39" s="158">
        <f>COMPARATIVA!I78</f>
        <v/>
      </c>
      <c r="J39" s="153" t="n"/>
      <c r="K39" s="158" t="n"/>
      <c r="L39" s="153" t="n"/>
      <c r="M39" s="158" t="n"/>
      <c r="N39" s="153" t="n"/>
      <c r="O39" s="158" t="n"/>
      <c r="P39" s="153" t="n"/>
    </row>
    <row r="40" customFormat="1" s="170">
      <c r="A40" s="45" t="n"/>
      <c r="B40" s="45" t="n"/>
      <c r="C40" s="45" t="n"/>
      <c r="D40" s="45" t="n"/>
      <c r="E40" s="45" t="n"/>
      <c r="F40" s="45" t="n"/>
      <c r="G40" s="45" t="n"/>
      <c r="H40" s="45" t="n"/>
      <c r="I40" s="45" t="n"/>
      <c r="J40" s="58" t="n"/>
      <c r="K40" s="57" t="n"/>
      <c r="L40" s="58" t="n"/>
      <c r="M40" s="57" t="n"/>
      <c r="N40" s="46" t="n"/>
      <c r="O40" s="45" t="n"/>
      <c r="P40" s="45" t="n"/>
    </row>
    <row r="41" customFormat="1" s="170">
      <c r="A41" s="158" t="inlineStr">
        <is>
          <t>Liston</t>
        </is>
      </c>
      <c r="B41" s="158" t="inlineStr">
        <is>
          <t>Pino</t>
        </is>
      </c>
      <c r="C41" s="158" t="inlineStr">
        <is>
          <t>Liston Flandes  45*21</t>
        </is>
      </c>
      <c r="D41" s="158" t="n">
        <v>4500</v>
      </c>
      <c r="E41" s="158" t="n">
        <v>45</v>
      </c>
      <c r="F41" s="158" t="n">
        <v>21</v>
      </c>
      <c r="G41" s="153">
        <f>COMPARATIVA!G80</f>
        <v/>
      </c>
      <c r="H41" s="158" t="inlineStr">
        <is>
          <t>€/ml</t>
        </is>
      </c>
      <c r="I41" s="158" t="inlineStr">
        <is>
          <t>Forestal Vic</t>
        </is>
      </c>
      <c r="J41" s="153" t="n"/>
      <c r="K41" s="158" t="n"/>
      <c r="L41" s="153" t="n"/>
      <c r="M41" s="158" t="n"/>
      <c r="N41" s="153" t="n"/>
      <c r="O41" s="158" t="n"/>
      <c r="P41" s="153" t="n"/>
    </row>
    <row r="42" customFormat="1" s="170">
      <c r="A42" s="158" t="inlineStr">
        <is>
          <t>Liston</t>
        </is>
      </c>
      <c r="B42" s="158" t="inlineStr">
        <is>
          <t>Pino</t>
        </is>
      </c>
      <c r="C42" s="158" t="inlineStr">
        <is>
          <t>Liston Flandes  45*45</t>
        </is>
      </c>
      <c r="D42" s="158" t="n">
        <v>4500</v>
      </c>
      <c r="E42" s="158" t="n">
        <v>45</v>
      </c>
      <c r="F42" s="158" t="n">
        <v>45</v>
      </c>
      <c r="G42" s="153">
        <f>COMPARATIVA!G84</f>
        <v/>
      </c>
      <c r="H42" s="158" t="inlineStr">
        <is>
          <t>€/ml</t>
        </is>
      </c>
      <c r="I42" s="158" t="inlineStr">
        <is>
          <t>Forestal Vic</t>
        </is>
      </c>
      <c r="J42" s="153" t="n"/>
      <c r="K42" s="158" t="n"/>
      <c r="L42" s="153" t="n"/>
      <c r="M42" s="158" t="n"/>
      <c r="N42" s="153" t="n"/>
      <c r="O42" s="158" t="n"/>
      <c r="P42" s="153" t="n"/>
    </row>
    <row r="43" customFormat="1" s="170">
      <c r="A43" s="158" t="inlineStr">
        <is>
          <t>Liston</t>
        </is>
      </c>
      <c r="B43" s="158" t="inlineStr">
        <is>
          <t>Pino</t>
        </is>
      </c>
      <c r="C43" s="158" t="inlineStr">
        <is>
          <t>Liston Flandes  45*70</t>
        </is>
      </c>
      <c r="D43" s="158" t="n">
        <v>4500</v>
      </c>
      <c r="E43" s="158" t="n">
        <v>45</v>
      </c>
      <c r="F43" s="158" t="n">
        <v>70</v>
      </c>
      <c r="G43" s="153">
        <f>COMPARATIVA!G87</f>
        <v/>
      </c>
      <c r="H43" s="158" t="inlineStr">
        <is>
          <t>€/ml</t>
        </is>
      </c>
      <c r="I43" s="158" t="inlineStr">
        <is>
          <t>Forestal Vic</t>
        </is>
      </c>
      <c r="J43" s="153" t="n"/>
      <c r="K43" s="158" t="n"/>
      <c r="L43" s="153" t="n"/>
      <c r="M43" s="158" t="n"/>
      <c r="N43" s="153" t="n"/>
      <c r="O43" s="158" t="n"/>
      <c r="P43" s="153" t="n"/>
    </row>
    <row r="44" customFormat="1" s="170">
      <c r="A44" s="158" t="inlineStr">
        <is>
          <t>Liston</t>
        </is>
      </c>
      <c r="B44" s="158" t="inlineStr">
        <is>
          <t>Pino</t>
        </is>
      </c>
      <c r="C44" s="158" t="inlineStr">
        <is>
          <t>Liston Flandes  20*90</t>
        </is>
      </c>
      <c r="D44" s="158" t="n">
        <v>4200</v>
      </c>
      <c r="E44" s="158" t="n">
        <v>20</v>
      </c>
      <c r="F44" s="158" t="n">
        <v>90</v>
      </c>
      <c r="G44" s="153">
        <f>COMPARATIVA!G90</f>
        <v/>
      </c>
      <c r="H44" s="158" t="inlineStr">
        <is>
          <t>€/ml</t>
        </is>
      </c>
      <c r="I44" s="158" t="inlineStr">
        <is>
          <t>Forestal Vic</t>
        </is>
      </c>
      <c r="J44" s="153" t="n"/>
      <c r="K44" s="158" t="n"/>
      <c r="L44" s="153" t="n"/>
      <c r="M44" s="158" t="n"/>
      <c r="N44" s="153" t="n"/>
      <c r="O44" s="158" t="n"/>
      <c r="P44" s="153" t="n"/>
    </row>
    <row r="45" customFormat="1" s="170">
      <c r="A45" s="158" t="inlineStr">
        <is>
          <t>Liston</t>
        </is>
      </c>
      <c r="B45" s="158" t="inlineStr">
        <is>
          <t>Aveto</t>
        </is>
      </c>
      <c r="C45" s="158" t="inlineStr">
        <is>
          <t>Liston Aveto 120*60</t>
        </is>
      </c>
      <c r="D45" s="158" t="n">
        <v>6500</v>
      </c>
      <c r="E45" s="158" t="n">
        <v>120</v>
      </c>
      <c r="F45" s="158" t="n">
        <v>60</v>
      </c>
      <c r="G45" s="153">
        <f>COMPARATIVA!G92</f>
        <v/>
      </c>
      <c r="H45" s="158" t="inlineStr">
        <is>
          <t>€/ml</t>
        </is>
      </c>
      <c r="I45" s="158" t="inlineStr">
        <is>
          <t>Forestal Vic</t>
        </is>
      </c>
      <c r="J45" s="153" t="n"/>
      <c r="K45" s="158" t="n"/>
      <c r="L45" s="153" t="n"/>
      <c r="M45" s="158" t="n"/>
      <c r="N45" s="153" t="n"/>
      <c r="O45" s="158" t="n"/>
      <c r="P45" s="153" t="n"/>
    </row>
    <row r="46" customFormat="1" s="170">
      <c r="A46" s="158" t="inlineStr">
        <is>
          <t>Liston</t>
        </is>
      </c>
      <c r="B46" s="158" t="inlineStr">
        <is>
          <t>Aveto</t>
        </is>
      </c>
      <c r="C46" s="158" t="inlineStr">
        <is>
          <t>Liston Aveto 120*120</t>
        </is>
      </c>
      <c r="D46" s="158" t="n">
        <v>6500</v>
      </c>
      <c r="E46" s="158" t="n">
        <v>120</v>
      </c>
      <c r="F46" s="158" t="n">
        <v>120</v>
      </c>
      <c r="G46" s="49">
        <f>COMPARATIVA!G94</f>
        <v/>
      </c>
      <c r="H46" s="158" t="inlineStr">
        <is>
          <t>€/ml</t>
        </is>
      </c>
      <c r="I46" s="158" t="inlineStr">
        <is>
          <t>Forestal Vic</t>
        </is>
      </c>
      <c r="J46" s="153" t="n"/>
      <c r="K46" s="158" t="n"/>
      <c r="L46" s="153" t="n"/>
      <c r="M46" s="158" t="n"/>
      <c r="N46" s="153" t="n"/>
      <c r="O46" s="158" t="n"/>
      <c r="P46" s="153" t="n"/>
    </row>
    <row r="47" customFormat="1" s="170">
      <c r="A47" s="45" t="n"/>
      <c r="B47" s="45" t="n"/>
      <c r="C47" s="45" t="n"/>
      <c r="D47" s="45" t="n"/>
      <c r="E47" s="45" t="n"/>
      <c r="F47" s="45" t="n"/>
      <c r="G47" s="46" t="n"/>
      <c r="H47" s="45" t="n"/>
      <c r="I47" s="56" t="n"/>
      <c r="J47" s="55" t="n"/>
      <c r="K47" s="54" t="n"/>
      <c r="L47" s="55" t="n"/>
      <c r="M47" s="54" t="n"/>
      <c r="N47" s="46" t="n"/>
      <c r="O47" s="45" t="n"/>
      <c r="P47" s="45" t="n"/>
    </row>
    <row r="48" customFormat="1" s="170">
      <c r="A48" s="158" t="inlineStr">
        <is>
          <t>Canto</t>
        </is>
      </c>
      <c r="B48" s="158" t="inlineStr">
        <is>
          <t>Haya</t>
        </is>
      </c>
      <c r="C48" s="158" t="inlineStr">
        <is>
          <t>Canto xapa 22*5mm Haya Natural</t>
        </is>
      </c>
      <c r="D48" s="47" t="n"/>
      <c r="E48" s="158" t="n">
        <v>22</v>
      </c>
      <c r="F48" s="158" t="n">
        <v>5</v>
      </c>
      <c r="G48" s="49">
        <f>COMPARATIVA!G96</f>
        <v/>
      </c>
      <c r="H48" s="158" t="inlineStr">
        <is>
          <t>€/ml</t>
        </is>
      </c>
      <c r="I48" s="156" t="inlineStr">
        <is>
          <t>Closa</t>
        </is>
      </c>
      <c r="J48" s="52" t="n"/>
      <c r="K48" s="51" t="n"/>
      <c r="L48" s="52" t="n"/>
      <c r="M48" s="51" t="n"/>
      <c r="N48" s="153" t="n"/>
      <c r="O48" s="158" t="n"/>
      <c r="P48" s="153" t="n"/>
    </row>
    <row r="49" customFormat="1" s="170">
      <c r="A49" s="158" t="inlineStr">
        <is>
          <t>Canto</t>
        </is>
      </c>
      <c r="B49" s="158" t="inlineStr">
        <is>
          <t>Blanco</t>
        </is>
      </c>
      <c r="C49" s="158" t="inlineStr">
        <is>
          <t>Canto  SEFT 22 X 0,8 MM</t>
        </is>
      </c>
      <c r="D49" s="47" t="n"/>
      <c r="E49" s="158" t="n">
        <v>22</v>
      </c>
      <c r="F49" s="158" t="n">
        <v>0.8</v>
      </c>
      <c r="G49" s="153">
        <f>COMPARATIVA!G100</f>
        <v/>
      </c>
      <c r="H49" s="158" t="inlineStr">
        <is>
          <t>€/ml</t>
        </is>
      </c>
      <c r="I49" s="156">
        <f>COMPARATIVA!I100</f>
        <v/>
      </c>
      <c r="J49" s="52" t="n"/>
      <c r="K49" s="51" t="n"/>
      <c r="L49" s="52" t="n"/>
      <c r="M49" s="51" t="n"/>
      <c r="N49" s="153" t="n"/>
      <c r="O49" s="158" t="n"/>
      <c r="P49" s="153" t="n"/>
    </row>
    <row r="50" customFormat="1" s="170">
      <c r="A50" s="158" t="inlineStr">
        <is>
          <t xml:space="preserve">Canto </t>
        </is>
      </c>
      <c r="B50" s="158" t="inlineStr">
        <is>
          <t>Negro</t>
        </is>
      </c>
      <c r="C50" s="158" t="inlineStr">
        <is>
          <t xml:space="preserve">Canto ABS Negro U-190 23*0,8 </t>
        </is>
      </c>
      <c r="D50" s="47" t="n"/>
      <c r="E50" s="158" t="n">
        <v>23</v>
      </c>
      <c r="F50" s="158" t="n">
        <v>0.8</v>
      </c>
      <c r="G50" s="153">
        <f>COMPARATIVA!G98</f>
        <v/>
      </c>
      <c r="H50" s="158" t="inlineStr">
        <is>
          <t>€/ml</t>
        </is>
      </c>
      <c r="I50" s="156">
        <f>COMPARATIVA!I98</f>
        <v/>
      </c>
      <c r="J50" s="52" t="n"/>
      <c r="K50" s="51" t="n"/>
      <c r="L50" s="52" t="n"/>
      <c r="M50" s="51" t="n"/>
      <c r="N50" s="153" t="n"/>
      <c r="O50" s="158" t="n"/>
      <c r="P50" s="153" t="n"/>
    </row>
    <row r="51" customFormat="1" s="170">
      <c r="A51" s="158" t="inlineStr">
        <is>
          <t xml:space="preserve">Canto </t>
        </is>
      </c>
      <c r="B51" s="158" t="inlineStr">
        <is>
          <t>Velvet Oak</t>
        </is>
      </c>
      <c r="C51" s="158" t="inlineStr">
        <is>
          <t>Canto  Velvet Oak</t>
        </is>
      </c>
      <c r="D51" s="47" t="n"/>
      <c r="E51" s="158" t="n">
        <v>22</v>
      </c>
      <c r="F51" s="158" t="n">
        <v>0.8</v>
      </c>
      <c r="G51" s="153">
        <f>COMPARATIVA!G101</f>
        <v/>
      </c>
      <c r="H51" s="158" t="inlineStr">
        <is>
          <t>€/ml</t>
        </is>
      </c>
      <c r="I51" s="156" t="inlineStr">
        <is>
          <t>M&amp;M Cantos</t>
        </is>
      </c>
      <c r="J51" s="52" t="n"/>
      <c r="K51" s="51" t="n"/>
      <c r="L51" s="52" t="n"/>
      <c r="M51" s="51" t="n"/>
      <c r="N51" s="153" t="n"/>
      <c r="O51" s="158" t="n"/>
      <c r="P51" s="153" t="n"/>
    </row>
    <row r="52" customFormat="1" s="170">
      <c r="A52" s="158" t="inlineStr">
        <is>
          <t xml:space="preserve">Canto </t>
        </is>
      </c>
      <c r="B52" s="158" t="inlineStr">
        <is>
          <t>Niagara Oak</t>
        </is>
      </c>
      <c r="C52" s="158" t="inlineStr">
        <is>
          <t>Canto  Niagara Oak</t>
        </is>
      </c>
      <c r="D52" s="47" t="n"/>
      <c r="E52" s="158" t="n">
        <v>22</v>
      </c>
      <c r="F52" s="158" t="n">
        <v>0.8</v>
      </c>
      <c r="G52" s="153">
        <f>COMPARATIVA!G102</f>
        <v/>
      </c>
      <c r="H52" s="158" t="inlineStr">
        <is>
          <t>€/ml</t>
        </is>
      </c>
      <c r="I52" s="156" t="inlineStr">
        <is>
          <t>M&amp;M Cantos</t>
        </is>
      </c>
      <c r="J52" s="52" t="n"/>
      <c r="K52" s="51" t="n"/>
      <c r="L52" s="52" t="n"/>
      <c r="M52" s="51" t="n"/>
      <c r="N52" s="153" t="n"/>
      <c r="O52" s="158" t="n"/>
      <c r="P52" s="153" t="n"/>
    </row>
    <row r="53" customFormat="1" s="170">
      <c r="A53" s="158" t="inlineStr">
        <is>
          <t xml:space="preserve">Canto </t>
        </is>
      </c>
      <c r="B53" s="158" t="inlineStr">
        <is>
          <t xml:space="preserve">Papaya </t>
        </is>
      </c>
      <c r="C53" s="158" t="inlineStr">
        <is>
          <t xml:space="preserve">Canto  Papaya </t>
        </is>
      </c>
      <c r="D53" s="47" t="n"/>
      <c r="E53" s="158" t="n">
        <v>22</v>
      </c>
      <c r="F53" s="158" t="n">
        <v>0.8</v>
      </c>
      <c r="G53" s="153">
        <f>COMPARATIVA!G103</f>
        <v/>
      </c>
      <c r="H53" s="158" t="inlineStr">
        <is>
          <t>€/ml</t>
        </is>
      </c>
      <c r="I53" s="156" t="inlineStr">
        <is>
          <t>M&amp;M Cantos</t>
        </is>
      </c>
      <c r="J53" s="52" t="n"/>
      <c r="K53" s="51" t="n"/>
      <c r="L53" s="52" t="n"/>
      <c r="M53" s="51" t="n"/>
      <c r="N53" s="153" t="n"/>
      <c r="O53" s="158" t="n"/>
      <c r="P53" s="153" t="n"/>
    </row>
    <row r="54" customFormat="1" s="170">
      <c r="A54" s="45" t="n"/>
      <c r="B54" s="45" t="n"/>
      <c r="C54" s="45" t="n"/>
      <c r="D54" s="45" t="n"/>
      <c r="E54" s="45" t="n"/>
      <c r="F54" s="45" t="n"/>
      <c r="G54" s="46" t="n"/>
      <c r="H54" s="45" t="n"/>
      <c r="I54" s="45" t="n"/>
      <c r="J54" s="46" t="n"/>
      <c r="K54" s="45" t="n"/>
      <c r="L54" s="46" t="n"/>
      <c r="M54" s="45" t="n"/>
      <c r="N54" s="46" t="n"/>
      <c r="O54" s="45" t="n"/>
      <c r="P54" s="45" t="n"/>
    </row>
    <row r="55" customFormat="1" s="170">
      <c r="A55" s="158" t="inlineStr">
        <is>
          <t>Perfil</t>
        </is>
      </c>
      <c r="B55" s="158" t="inlineStr">
        <is>
          <t>Aluminio Negro</t>
        </is>
      </c>
      <c r="C55" s="158" t="inlineStr">
        <is>
          <t>Perfil 40*20 Negro Brillante</t>
        </is>
      </c>
      <c r="D55" s="158" t="n">
        <v>6000</v>
      </c>
      <c r="E55" s="158" t="n">
        <v>40</v>
      </c>
      <c r="F55" s="158" t="n">
        <v>20</v>
      </c>
      <c r="G55" s="153" t="n">
        <v>2.541</v>
      </c>
      <c r="H55" s="158" t="inlineStr">
        <is>
          <t>€/ml</t>
        </is>
      </c>
      <c r="I55" s="158" t="inlineStr">
        <is>
          <t>Provedal</t>
        </is>
      </c>
      <c r="J55" s="153" t="n"/>
      <c r="K55" s="158" t="n"/>
      <c r="L55" s="153" t="n"/>
      <c r="M55" s="158" t="n"/>
      <c r="N55" s="153" t="n"/>
      <c r="O55" s="158" t="n"/>
      <c r="P55" s="153" t="n"/>
    </row>
    <row r="56" customFormat="1" s="170">
      <c r="A56" s="158" t="inlineStr">
        <is>
          <t>Perfil</t>
        </is>
      </c>
      <c r="B56" s="158" t="inlineStr">
        <is>
          <t>Aluminio Blanco</t>
        </is>
      </c>
      <c r="C56" s="158" t="inlineStr">
        <is>
          <t>Perfil 40*20 Blanco Brillante</t>
        </is>
      </c>
      <c r="D56" s="158" t="n">
        <v>6000</v>
      </c>
      <c r="E56" s="158" t="n">
        <v>40</v>
      </c>
      <c r="F56" s="158" t="n">
        <v>20</v>
      </c>
      <c r="G56" s="153" t="n">
        <v>2.36</v>
      </c>
      <c r="H56" s="158" t="inlineStr">
        <is>
          <t>€/ml</t>
        </is>
      </c>
      <c r="I56" s="158" t="inlineStr">
        <is>
          <t>Provedal</t>
        </is>
      </c>
      <c r="J56" s="153" t="n"/>
      <c r="K56" s="158" t="n"/>
      <c r="L56" s="153" t="n"/>
      <c r="M56" s="158" t="n"/>
      <c r="N56" s="153" t="n"/>
      <c r="O56" s="158" t="n"/>
      <c r="P56" s="153" t="n"/>
    </row>
    <row r="57" customFormat="1" s="170">
      <c r="A57" s="158" t="inlineStr">
        <is>
          <t>Pletina</t>
        </is>
      </c>
      <c r="B57" s="158" t="inlineStr">
        <is>
          <t>Aluminio Negro</t>
        </is>
      </c>
      <c r="C57" s="158" t="inlineStr">
        <is>
          <t>Pletina 20*3 Negro Brillante</t>
        </is>
      </c>
      <c r="D57" s="158" t="n">
        <v>6000</v>
      </c>
      <c r="E57" s="158" t="n">
        <v>20</v>
      </c>
      <c r="F57" s="158" t="n">
        <v>3</v>
      </c>
      <c r="G57" s="153" t="n">
        <v>2.39</v>
      </c>
      <c r="H57" s="158" t="inlineStr">
        <is>
          <t>€/ml</t>
        </is>
      </c>
      <c r="I57" s="158" t="inlineStr">
        <is>
          <t>Provedal</t>
        </is>
      </c>
      <c r="J57" s="153" t="n"/>
      <c r="K57" s="158" t="n"/>
      <c r="L57" s="153" t="n"/>
      <c r="M57" s="158" t="n"/>
      <c r="N57" s="153" t="n"/>
      <c r="O57" s="158" t="n"/>
      <c r="P57" s="153" t="n"/>
    </row>
    <row r="58" customFormat="1" s="170">
      <c r="A58" s="158" t="inlineStr">
        <is>
          <t>Perfil</t>
        </is>
      </c>
      <c r="B58" s="158" t="inlineStr">
        <is>
          <t>Textil</t>
        </is>
      </c>
      <c r="C58" s="158" t="inlineStr">
        <is>
          <t>Para Textiles Silicona</t>
        </is>
      </c>
      <c r="D58" s="61" t="n"/>
      <c r="E58" s="61" t="n"/>
      <c r="F58" s="61" t="n"/>
      <c r="G58" s="49">
        <f>COMPARATIVA!G108</f>
        <v/>
      </c>
      <c r="H58" s="158" t="inlineStr">
        <is>
          <t>€/ml</t>
        </is>
      </c>
      <c r="I58" s="61" t="n"/>
      <c r="J58" s="153" t="n"/>
      <c r="K58" s="158" t="n"/>
      <c r="L58" s="153" t="n"/>
      <c r="M58" s="158" t="n"/>
      <c r="N58" s="153" t="n"/>
      <c r="O58" s="158" t="n"/>
      <c r="P58" s="153" t="n"/>
    </row>
    <row r="59" customFormat="1" s="170">
      <c r="A59" s="158" t="inlineStr">
        <is>
          <t>Perfil</t>
        </is>
      </c>
      <c r="B59" s="158" t="inlineStr">
        <is>
          <t>Aluminio</t>
        </is>
      </c>
      <c r="C59" s="158" t="inlineStr">
        <is>
          <t>Perfil en U aluminio  (?Cristal?)</t>
        </is>
      </c>
      <c r="D59" s="61" t="n"/>
      <c r="E59" s="61" t="n"/>
      <c r="F59" s="61" t="n"/>
      <c r="G59" s="49">
        <f>COMPARATIVA!G109</f>
        <v/>
      </c>
      <c r="H59" s="158" t="inlineStr">
        <is>
          <t>€/ml</t>
        </is>
      </c>
      <c r="I59" s="61" t="n"/>
      <c r="J59" s="153" t="n"/>
      <c r="K59" s="158" t="n"/>
      <c r="L59" s="153" t="n"/>
      <c r="M59" s="158" t="n"/>
      <c r="N59" s="153" t="n"/>
      <c r="O59" s="158" t="n"/>
      <c r="P59" s="153" t="n"/>
    </row>
    <row r="60" customFormat="1" s="170">
      <c r="A60" s="45" t="n"/>
      <c r="B60" s="45" t="n"/>
      <c r="C60" s="45" t="n"/>
      <c r="D60" s="45" t="n"/>
      <c r="E60" s="45" t="n"/>
      <c r="F60" s="45" t="n"/>
      <c r="G60" s="46" t="n"/>
      <c r="H60" s="45" t="n"/>
      <c r="I60" s="45" t="n"/>
      <c r="J60" s="46" t="n"/>
      <c r="K60" s="45" t="n"/>
      <c r="L60" s="46" t="n"/>
      <c r="M60" s="45" t="n"/>
      <c r="N60" s="46" t="n"/>
      <c r="O60" s="45" t="n"/>
      <c r="P60" s="45" t="n"/>
    </row>
    <row r="61" customFormat="1" s="170">
      <c r="A61" s="158" t="inlineStr">
        <is>
          <t>Cristal</t>
        </is>
      </c>
      <c r="B61" s="158" t="inlineStr">
        <is>
          <t>Cristal</t>
        </is>
      </c>
      <c r="C61" s="158" t="inlineStr">
        <is>
          <t>Cristal a medida</t>
        </is>
      </c>
      <c r="D61" s="108" t="n"/>
      <c r="E61" s="108" t="n"/>
      <c r="F61" s="108" t="n"/>
      <c r="G61" s="49">
        <f>(6.49)+(67.28)+(30)</f>
        <v/>
      </c>
      <c r="H61" s="158" t="inlineStr">
        <is>
          <t>€/m2</t>
        </is>
      </c>
      <c r="I61" s="158" t="inlineStr">
        <is>
          <t>Mascarell</t>
        </is>
      </c>
      <c r="J61" s="153" t="n"/>
      <c r="K61" s="158" t="n"/>
      <c r="L61" s="153" t="n"/>
      <c r="M61" s="158" t="n"/>
      <c r="N61" s="153" t="n"/>
      <c r="O61" s="158" t="n"/>
      <c r="P61" s="153" t="n"/>
    </row>
    <row r="62" customFormat="1" s="170">
      <c r="A62" s="158" t="inlineStr">
        <is>
          <t xml:space="preserve">Cristal </t>
        </is>
      </c>
      <c r="B62" s="158" t="inlineStr">
        <is>
          <t>Puerta</t>
        </is>
      </c>
      <c r="C62" s="158" t="inlineStr">
        <is>
          <t>Puerta + Tarja  a medida</t>
        </is>
      </c>
      <c r="D62" s="108" t="n"/>
      <c r="E62" s="108" t="n"/>
      <c r="F62" s="108" t="n"/>
      <c r="G62" s="49" t="n">
        <v>500</v>
      </c>
      <c r="H62" s="158" t="inlineStr">
        <is>
          <t>uni</t>
        </is>
      </c>
      <c r="I62" s="158" t="inlineStr">
        <is>
          <t>Mascarell</t>
        </is>
      </c>
      <c r="J62" s="153" t="n"/>
      <c r="K62" s="158" t="n"/>
      <c r="L62" s="153" t="n"/>
      <c r="M62" s="158" t="n"/>
      <c r="N62" s="153" t="n"/>
      <c r="O62" s="158" t="n"/>
      <c r="P62" s="153" t="n"/>
    </row>
    <row r="63" customFormat="1" s="170">
      <c r="A63" s="45" t="n"/>
      <c r="B63" s="45" t="n"/>
      <c r="C63" s="45" t="n"/>
      <c r="D63" s="45" t="n"/>
      <c r="E63" s="45" t="n"/>
      <c r="F63" s="45" t="n"/>
      <c r="G63" s="46" t="n"/>
      <c r="H63" s="45" t="n"/>
      <c r="I63" s="45" t="n"/>
      <c r="J63" s="46" t="n"/>
      <c r="K63" s="45" t="n"/>
      <c r="L63" s="46" t="n"/>
      <c r="M63" s="45" t="n"/>
      <c r="N63" s="46" t="n"/>
      <c r="O63" s="45" t="n"/>
      <c r="P63" s="45" t="n"/>
    </row>
    <row r="64" customFormat="1" s="170">
      <c r="A64" s="158" t="inlineStr">
        <is>
          <t>Muro</t>
        </is>
      </c>
      <c r="B64" s="158" t="inlineStr">
        <is>
          <t>Bmatrix</t>
        </is>
      </c>
      <c r="C64" s="158" t="inlineStr">
        <is>
          <t>Alquiler Muro Bmatrix</t>
        </is>
      </c>
      <c r="D64" s="108" t="n"/>
      <c r="E64" s="108" t="n"/>
      <c r="F64" s="108" t="n"/>
      <c r="G64" s="49">
        <f>COMPARATIVA!G111</f>
        <v/>
      </c>
      <c r="H64" s="158" t="inlineStr">
        <is>
          <t>€/m2</t>
        </is>
      </c>
      <c r="I64" s="61">
        <f>COMPARATIVA!I111</f>
        <v/>
      </c>
      <c r="J64" s="153" t="n"/>
      <c r="K64" s="158" t="n"/>
      <c r="L64" s="153" t="n"/>
      <c r="M64" s="158" t="n"/>
      <c r="N64" s="153" t="n"/>
      <c r="O64" s="158" t="n"/>
      <c r="P64" s="153" t="n"/>
    </row>
    <row r="65" customFormat="1" s="170">
      <c r="A65" s="45" t="n"/>
      <c r="B65" s="45" t="n"/>
      <c r="C65" s="45" t="n"/>
      <c r="D65" s="45" t="n"/>
      <c r="E65" s="45" t="n"/>
      <c r="F65" s="45" t="n"/>
      <c r="G65" s="46" t="n"/>
      <c r="H65" s="45" t="n"/>
      <c r="I65" s="45" t="n"/>
      <c r="J65" s="46" t="n"/>
      <c r="K65" s="45" t="n"/>
      <c r="L65" s="46" t="n"/>
      <c r="M65" s="45" t="n"/>
      <c r="N65" s="46" t="n"/>
      <c r="O65" s="45" t="n"/>
      <c r="P65" s="45" t="n"/>
    </row>
    <row r="66" customFormat="1" s="170">
      <c r="A66" s="158" t="inlineStr">
        <is>
          <t>Plastico</t>
        </is>
      </c>
      <c r="B66" s="158" t="inlineStr">
        <is>
          <t>Plastico</t>
        </is>
      </c>
      <c r="C66" s="158" t="inlineStr">
        <is>
          <t>Plastico galga 400 (6 x 100 m)</t>
        </is>
      </c>
      <c r="D66" s="158" t="n">
        <v>100</v>
      </c>
      <c r="E66" s="158" t="n">
        <v>6</v>
      </c>
      <c r="F66" s="158" t="n">
        <v>0.01</v>
      </c>
      <c r="G66" s="153" t="n">
        <v>0.0974</v>
      </c>
      <c r="H66" s="158" t="inlineStr">
        <is>
          <t>€/ml</t>
        </is>
      </c>
      <c r="I66" s="61" t="inlineStr">
        <is>
          <t>??</t>
        </is>
      </c>
      <c r="J66" s="153" t="n"/>
      <c r="K66" s="158" t="n"/>
      <c r="L66" s="153" t="n"/>
      <c r="M66" s="158" t="n"/>
      <c r="N66" s="153" t="n"/>
      <c r="O66" s="158" t="n"/>
      <c r="P66" s="153" t="n"/>
    </row>
    <row r="67" customFormat="1" s="170">
      <c r="A67" s="158" t="inlineStr">
        <is>
          <t xml:space="preserve">Aislante </t>
        </is>
      </c>
      <c r="B67" s="158" t="inlineStr">
        <is>
          <t>Lana Roca</t>
        </is>
      </c>
      <c r="C67" s="158" t="inlineStr">
        <is>
          <t xml:space="preserve">Lana roca </t>
        </is>
      </c>
      <c r="D67" s="158" t="n">
        <v>1.35</v>
      </c>
      <c r="E67" s="158" t="n">
        <v>0.6</v>
      </c>
      <c r="F67" s="158" t="n">
        <v>0.04</v>
      </c>
      <c r="G67" s="153" t="n">
        <v>4.05</v>
      </c>
      <c r="H67" s="158" t="inlineStr">
        <is>
          <t>€/m2</t>
        </is>
      </c>
      <c r="I67" s="158" t="inlineStr">
        <is>
          <t>Leroy merlin</t>
        </is>
      </c>
      <c r="J67" s="153" t="n"/>
      <c r="K67" s="158" t="n"/>
      <c r="L67" s="153" t="n"/>
      <c r="M67" s="158" t="n"/>
      <c r="N67" s="153" t="n"/>
      <c r="O67" s="158" t="n"/>
      <c r="P67" s="153" t="n"/>
      <c r="Q67" s="170" t="inlineStr">
        <is>
          <t>https://www.leroymerlin.es/productos/12-uds-de-paneles-lana-de-roca-isover-geowall-37-espesor-40mm-1-35x0-6m-r-1-09-15929354.html</t>
        </is>
      </c>
    </row>
    <row r="68" customFormat="1" s="170">
      <c r="A68" s="45" t="n"/>
      <c r="B68" s="45" t="n"/>
      <c r="C68" s="45" t="n"/>
      <c r="D68" s="45" t="n"/>
      <c r="E68" s="45" t="n"/>
      <c r="F68" s="45" t="n"/>
      <c r="G68" s="46" t="n"/>
      <c r="H68" s="45" t="n"/>
      <c r="I68" s="45" t="n"/>
      <c r="J68" s="46" t="n"/>
      <c r="K68" s="45" t="n"/>
      <c r="L68" s="46" t="n"/>
      <c r="M68" s="45" t="n"/>
      <c r="N68" s="46" t="n"/>
      <c r="O68" s="45" t="n"/>
      <c r="P68" s="45" t="n"/>
    </row>
    <row r="69" customFormat="1" s="170">
      <c r="A69" s="158" t="inlineStr">
        <is>
          <t>Logistica</t>
        </is>
      </c>
      <c r="B69" s="158" t="inlineStr">
        <is>
          <t>1 Trailer</t>
        </is>
      </c>
      <c r="C69" s="158" t="inlineStr">
        <is>
          <t>ESWood - Feria BCN (13,6 Largo *2,4 Ancho *2,6 Alto)</t>
        </is>
      </c>
      <c r="D69" s="47" t="n"/>
      <c r="E69" s="47" t="n"/>
      <c r="F69" s="47" t="n"/>
      <c r="G69" s="153" t="n">
        <v>390</v>
      </c>
      <c r="H69" s="158" t="inlineStr">
        <is>
          <t>Viaje</t>
        </is>
      </c>
      <c r="I69" s="158" t="inlineStr">
        <is>
          <t>Sertrans</t>
        </is>
      </c>
      <c r="J69" s="153" t="n">
        <v>200</v>
      </c>
      <c r="K69" s="158" t="inlineStr">
        <is>
          <t>Festivo</t>
        </is>
      </c>
      <c r="L69" s="153" t="n">
        <v>150</v>
      </c>
      <c r="M69" s="158" t="inlineStr">
        <is>
          <t>Dia siguente</t>
        </is>
      </c>
      <c r="N69" s="153" t="n"/>
      <c r="O69" s="158" t="n"/>
      <c r="P69" s="153" t="n"/>
    </row>
    <row r="70" customFormat="1" s="50">
      <c r="A70" s="158" t="inlineStr">
        <is>
          <t>Logistica</t>
        </is>
      </c>
      <c r="B70" s="158" t="inlineStr">
        <is>
          <t>1/2 Trailer</t>
        </is>
      </c>
      <c r="C70" s="158" t="inlineStr">
        <is>
          <t>ESWood - Feria BCN</t>
        </is>
      </c>
      <c r="D70" s="47" t="n"/>
      <c r="E70" s="47" t="n"/>
      <c r="F70" s="47" t="n"/>
      <c r="G70" s="49" t="n">
        <v>250</v>
      </c>
      <c r="H70" s="158" t="inlineStr">
        <is>
          <t>Viaje</t>
        </is>
      </c>
      <c r="I70" s="158" t="inlineStr">
        <is>
          <t>Sertrans</t>
        </is>
      </c>
      <c r="J70" s="49" t="n"/>
      <c r="K70" s="158" t="inlineStr">
        <is>
          <t>Festivo</t>
        </is>
      </c>
      <c r="L70" s="49" t="n"/>
      <c r="M70" s="158" t="inlineStr">
        <is>
          <t>Dia siguente</t>
        </is>
      </c>
      <c r="N70" s="52" t="n"/>
      <c r="O70" s="51" t="n"/>
      <c r="P70" s="153" t="n"/>
    </row>
    <row r="71" customFormat="1" s="170">
      <c r="A71" s="158" t="inlineStr">
        <is>
          <t>Logistica</t>
        </is>
      </c>
      <c r="B71" s="158" t="inlineStr">
        <is>
          <t>1 Trailer</t>
        </is>
      </c>
      <c r="C71" s="158" t="inlineStr">
        <is>
          <t xml:space="preserve">ESWood - Madrid  </t>
        </is>
      </c>
      <c r="D71" s="47" t="n"/>
      <c r="E71" s="47" t="n"/>
      <c r="F71" s="47" t="n"/>
      <c r="G71" s="153" t="n">
        <v>1050</v>
      </c>
      <c r="H71" s="158" t="inlineStr">
        <is>
          <t>Viaje</t>
        </is>
      </c>
      <c r="I71" s="158" t="inlineStr">
        <is>
          <t>Sertrans</t>
        </is>
      </c>
      <c r="J71" s="153" t="n"/>
      <c r="K71" s="158" t="n"/>
      <c r="L71" s="153" t="n"/>
      <c r="M71" s="158" t="n"/>
      <c r="N71" s="153" t="n"/>
      <c r="O71" s="158" t="n"/>
      <c r="P71" s="153" t="n"/>
    </row>
    <row r="72" customFormat="1" s="170">
      <c r="A72" s="158" t="inlineStr">
        <is>
          <t>Logistica</t>
        </is>
      </c>
      <c r="B72" s="158" t="inlineStr">
        <is>
          <t>1/2 Trailer</t>
        </is>
      </c>
      <c r="C72" s="158" t="inlineStr">
        <is>
          <t>ESWood - Vigo</t>
        </is>
      </c>
      <c r="D72" s="47" t="n"/>
      <c r="E72" s="47" t="n"/>
      <c r="F72" s="47" t="n"/>
      <c r="G72" s="153" t="n">
        <v>1150</v>
      </c>
      <c r="H72" s="158" t="inlineStr">
        <is>
          <t>Viaje</t>
        </is>
      </c>
      <c r="I72" s="158" t="inlineStr">
        <is>
          <t>Sertrans</t>
        </is>
      </c>
      <c r="J72" s="153" t="n">
        <v>250</v>
      </c>
      <c r="K72" s="158" t="inlineStr">
        <is>
          <t>Sabado</t>
        </is>
      </c>
      <c r="L72" s="153" t="n">
        <v>375</v>
      </c>
      <c r="M72" s="158" t="inlineStr">
        <is>
          <t>Domingo</t>
        </is>
      </c>
      <c r="N72" s="153" t="n"/>
      <c r="O72" s="158" t="n"/>
      <c r="P72" s="153" t="n"/>
    </row>
    <row r="73" customFormat="1" s="170">
      <c r="A73" s="158" t="inlineStr">
        <is>
          <t>Logistica</t>
        </is>
      </c>
      <c r="B73" s="158" t="inlineStr">
        <is>
          <t>1 Trailer</t>
        </is>
      </c>
      <c r="C73" s="158" t="inlineStr">
        <is>
          <t>ESWood - Vigo</t>
        </is>
      </c>
      <c r="D73" s="47" t="n"/>
      <c r="E73" s="47" t="n"/>
      <c r="F73" s="47" t="n"/>
      <c r="G73" s="153" t="n">
        <v>1700</v>
      </c>
      <c r="H73" s="158" t="inlineStr">
        <is>
          <t>Viaje</t>
        </is>
      </c>
      <c r="I73" s="158" t="inlineStr">
        <is>
          <t>Sertrans</t>
        </is>
      </c>
      <c r="J73" s="153" t="n">
        <v>250</v>
      </c>
      <c r="K73" s="158" t="inlineStr">
        <is>
          <t>Sabado</t>
        </is>
      </c>
      <c r="L73" s="153" t="n">
        <v>375</v>
      </c>
      <c r="M73" s="158" t="inlineStr">
        <is>
          <t>Domingo</t>
        </is>
      </c>
      <c r="N73" s="153" t="n"/>
      <c r="O73" s="158" t="n"/>
      <c r="P73" s="153" t="n"/>
    </row>
    <row r="74" customFormat="1" s="170">
      <c r="A74" s="158" t="inlineStr">
        <is>
          <t>Logistica</t>
        </is>
      </c>
      <c r="B74" s="158" t="inlineStr">
        <is>
          <t>1/2 Trailer</t>
        </is>
      </c>
      <c r="C74" s="158" t="inlineStr">
        <is>
          <t>ESWood - Londres</t>
        </is>
      </c>
      <c r="D74" s="47" t="n"/>
      <c r="E74" s="47" t="n"/>
      <c r="F74" s="47" t="n"/>
      <c r="G74" s="49" t="n"/>
      <c r="H74" s="158" t="inlineStr">
        <is>
          <t>Viaje</t>
        </is>
      </c>
      <c r="I74" s="158" t="inlineStr">
        <is>
          <t>Sertrans</t>
        </is>
      </c>
      <c r="J74" s="153" t="n"/>
      <c r="K74" s="158" t="n"/>
      <c r="L74" s="153" t="n"/>
      <c r="M74" s="158" t="n"/>
      <c r="N74" s="153" t="n"/>
      <c r="O74" s="158" t="n"/>
      <c r="P74" s="153" t="n"/>
    </row>
    <row r="75" customFormat="1" s="170">
      <c r="A75" s="158" t="inlineStr">
        <is>
          <t>Logistica</t>
        </is>
      </c>
      <c r="B75" s="158" t="inlineStr">
        <is>
          <t>1 Trailer</t>
        </is>
      </c>
      <c r="C75" s="158" t="inlineStr">
        <is>
          <t>ESWood - Londres</t>
        </is>
      </c>
      <c r="D75" s="47" t="n"/>
      <c r="E75" s="47" t="n"/>
      <c r="F75" s="47" t="n"/>
      <c r="G75" s="153" t="n">
        <v>3850</v>
      </c>
      <c r="H75" s="158" t="inlineStr">
        <is>
          <t>Viaje</t>
        </is>
      </c>
      <c r="I75" s="158" t="inlineStr">
        <is>
          <t>Sertrans</t>
        </is>
      </c>
      <c r="J75" s="153" t="n">
        <v>80</v>
      </c>
      <c r="K75" s="158" t="inlineStr">
        <is>
          <t>ATA</t>
        </is>
      </c>
      <c r="L75" s="153" t="n"/>
      <c r="M75" s="158" t="n"/>
      <c r="N75" s="153" t="n"/>
      <c r="O75" s="158" t="n"/>
      <c r="P75" s="153" t="n"/>
    </row>
    <row r="76" customFormat="1" s="170">
      <c r="A76" s="158" t="inlineStr">
        <is>
          <t>Logistica</t>
        </is>
      </c>
      <c r="B76" s="158" t="inlineStr">
        <is>
          <t>1 Trailer</t>
        </is>
      </c>
      <c r="C76" s="158" t="inlineStr">
        <is>
          <t>Londres - ESWood</t>
        </is>
      </c>
      <c r="D76" s="47" t="n"/>
      <c r="E76" s="47" t="n"/>
      <c r="F76" s="47" t="n"/>
      <c r="G76" s="153" t="n">
        <v>2350</v>
      </c>
      <c r="H76" s="158" t="inlineStr">
        <is>
          <t>Viaje</t>
        </is>
      </c>
      <c r="I76" s="158" t="inlineStr">
        <is>
          <t>Sertrans</t>
        </is>
      </c>
      <c r="J76" s="153" t="n">
        <v>80</v>
      </c>
      <c r="K76" s="158" t="inlineStr">
        <is>
          <t>ATA</t>
        </is>
      </c>
      <c r="L76" s="153" t="n"/>
      <c r="M76" s="158" t="n"/>
      <c r="N76" s="153" t="n"/>
      <c r="O76" s="158" t="n"/>
      <c r="P76" s="153" t="n"/>
    </row>
    <row r="77" customFormat="1" s="170">
      <c r="A77" s="45" t="n"/>
      <c r="B77" s="45" t="n"/>
      <c r="C77" s="45" t="n"/>
      <c r="D77" s="45" t="n"/>
      <c r="E77" s="45" t="n"/>
      <c r="F77" s="45" t="n"/>
      <c r="G77" s="46" t="n"/>
      <c r="H77" s="45" t="n"/>
      <c r="I77" s="45" t="n"/>
      <c r="J77" s="46" t="n"/>
      <c r="K77" s="45" t="n"/>
      <c r="L77" s="46" t="n"/>
      <c r="M77" s="45" t="n"/>
      <c r="N77" s="46" t="n"/>
      <c r="O77" s="45" t="n"/>
      <c r="P77" s="45" t="n"/>
    </row>
    <row r="78" customFormat="1" s="170">
      <c r="A78" s="158" t="inlineStr">
        <is>
          <t>Logistica</t>
        </is>
      </c>
      <c r="B78" s="158" t="inlineStr">
        <is>
          <t>Toro</t>
        </is>
      </c>
      <c r="C78" s="158" t="inlineStr">
        <is>
          <t>1h con conductor Feria Granvia Resa</t>
        </is>
      </c>
      <c r="D78" s="47" t="n"/>
      <c r="E78" s="47" t="n"/>
      <c r="F78" s="47" t="n"/>
      <c r="G78" s="153" t="n">
        <v>86</v>
      </c>
      <c r="H78" s="158" t="inlineStr">
        <is>
          <t>€/1h</t>
        </is>
      </c>
      <c r="I78" s="158" t="inlineStr">
        <is>
          <t>Resa Expo</t>
        </is>
      </c>
      <c r="J78" s="153" t="n"/>
      <c r="K78" s="158" t="n"/>
      <c r="L78" s="48" t="n">
        <v>0.1</v>
      </c>
      <c r="M78" s="158" t="inlineStr">
        <is>
          <t>10 dias antelacion</t>
        </is>
      </c>
      <c r="N78" s="153" t="n"/>
      <c r="O78" s="158" t="n"/>
      <c r="P78" s="153" t="n"/>
    </row>
    <row r="79" customFormat="1" s="170">
      <c r="A79" s="158" t="inlineStr">
        <is>
          <t>Logistica</t>
        </is>
      </c>
      <c r="B79" s="158" t="inlineStr">
        <is>
          <t>Toro</t>
        </is>
      </c>
      <c r="C79" s="158" t="inlineStr">
        <is>
          <t>1 dia Sin conductor Feria Granvia Resa</t>
        </is>
      </c>
      <c r="D79" s="47" t="n"/>
      <c r="E79" s="47" t="n"/>
      <c r="F79" s="47" t="n"/>
      <c r="G79" s="153">
        <f>163+150</f>
        <v/>
      </c>
      <c r="H79" s="158" t="inlineStr">
        <is>
          <t>€/1dia</t>
        </is>
      </c>
      <c r="I79" s="158" t="inlineStr">
        <is>
          <t>Resa Expo</t>
        </is>
      </c>
      <c r="J79" s="153" t="n"/>
      <c r="K79" s="158" t="n"/>
      <c r="L79" s="48" t="n">
        <v>0.1</v>
      </c>
      <c r="M79" s="158" t="inlineStr">
        <is>
          <t>10 dias antelacion</t>
        </is>
      </c>
      <c r="N79" s="153" t="n"/>
      <c r="O79" s="158" t="n"/>
      <c r="P79" s="153" t="n"/>
    </row>
    <row r="80" customFormat="1" s="170">
      <c r="A80" s="158" t="inlineStr">
        <is>
          <t>Logistica</t>
        </is>
      </c>
      <c r="B80" s="158" t="inlineStr">
        <is>
          <t>Toro</t>
        </is>
      </c>
      <c r="C80" s="158" t="inlineStr">
        <is>
          <t>1h con conductor Feria Granvia Resa (MWC)</t>
        </is>
      </c>
      <c r="D80" s="47" t="n"/>
      <c r="E80" s="47" t="n"/>
      <c r="F80" s="47" t="n"/>
      <c r="G80" s="49" t="n"/>
      <c r="H80" s="158" t="inlineStr">
        <is>
          <t>€/1h</t>
        </is>
      </c>
      <c r="I80" s="158" t="inlineStr">
        <is>
          <t>Resa Expo</t>
        </is>
      </c>
      <c r="J80" s="153" t="n"/>
      <c r="K80" s="158" t="n"/>
      <c r="L80" s="48" t="n">
        <v>0.1</v>
      </c>
      <c r="M80" s="158" t="inlineStr">
        <is>
          <t>10 dias antelacion</t>
        </is>
      </c>
      <c r="N80" s="153" t="n"/>
      <c r="O80" s="158" t="n"/>
      <c r="P80" s="153" t="n"/>
    </row>
    <row r="81" customFormat="1" s="170">
      <c r="A81" s="158" t="inlineStr">
        <is>
          <t>Logistica</t>
        </is>
      </c>
      <c r="B81" s="158" t="inlineStr">
        <is>
          <t>Toro</t>
        </is>
      </c>
      <c r="C81" s="158" t="inlineStr">
        <is>
          <t>1 dia Sin conductor Feria Granvia Resa (MWC)</t>
        </is>
      </c>
      <c r="D81" s="47" t="n"/>
      <c r="E81" s="47" t="n"/>
      <c r="F81" s="47" t="n"/>
      <c r="G81" s="49" t="n"/>
      <c r="H81" s="158" t="inlineStr">
        <is>
          <t>€/1dia</t>
        </is>
      </c>
      <c r="I81" s="158" t="inlineStr">
        <is>
          <t>Resa Expo</t>
        </is>
      </c>
      <c r="J81" s="153" t="n"/>
      <c r="K81" s="158" t="n"/>
      <c r="L81" s="48" t="n">
        <v>0.1</v>
      </c>
      <c r="M81" s="158" t="inlineStr">
        <is>
          <t>10 dias antelacion</t>
        </is>
      </c>
      <c r="N81" s="153" t="n"/>
      <c r="O81" s="158" t="n"/>
      <c r="P81" s="153" t="n"/>
    </row>
    <row r="82" customFormat="1" s="170">
      <c r="A82" s="45" t="n"/>
      <c r="B82" s="45" t="n"/>
      <c r="C82" s="45" t="n"/>
      <c r="D82" s="45" t="n"/>
      <c r="E82" s="45" t="n"/>
      <c r="F82" s="45" t="n"/>
      <c r="G82" s="46" t="n"/>
      <c r="H82" s="45" t="n"/>
      <c r="I82" s="45" t="n"/>
      <c r="J82" s="46" t="n"/>
      <c r="K82" s="45" t="n"/>
      <c r="L82" s="46" t="n"/>
      <c r="M82" s="45" t="n"/>
      <c r="N82" s="46" t="n"/>
      <c r="O82" s="45" t="n"/>
      <c r="P82" s="45" t="n"/>
    </row>
    <row r="83" customFormat="1" s="170">
      <c r="A83" s="158" t="inlineStr">
        <is>
          <t>Logistica</t>
        </is>
      </c>
      <c r="B83" s="158" t="inlineStr">
        <is>
          <t>Reciclado</t>
        </is>
      </c>
      <c r="C83" s="158" t="inlineStr">
        <is>
          <t>1 Container reciclado</t>
        </is>
      </c>
      <c r="D83" s="47" t="n"/>
      <c r="E83" s="47" t="n"/>
      <c r="F83" s="47" t="n"/>
      <c r="G83" s="49" t="n">
        <v>300</v>
      </c>
      <c r="H83" s="158" t="inlineStr">
        <is>
          <t>€/Uni</t>
        </is>
      </c>
      <c r="I83" s="61" t="n"/>
      <c r="J83" s="153" t="n"/>
      <c r="K83" s="158" t="n"/>
      <c r="L83" s="48" t="n"/>
      <c r="M83" s="158" t="n"/>
      <c r="N83" s="153" t="n"/>
      <c r="O83" s="158" t="n"/>
      <c r="P83" s="153" t="n"/>
    </row>
    <row r="84" customFormat="1" s="170">
      <c r="A84" s="45" t="n"/>
      <c r="B84" s="45" t="n"/>
      <c r="C84" s="45" t="n"/>
      <c r="D84" s="45" t="n"/>
      <c r="E84" s="45" t="n"/>
      <c r="F84" s="45" t="n"/>
      <c r="G84" s="46" t="n"/>
      <c r="H84" s="45" t="n"/>
      <c r="I84" s="45" t="n"/>
      <c r="J84" s="46" t="n"/>
      <c r="K84" s="45" t="n"/>
      <c r="L84" s="46" t="n"/>
      <c r="M84" s="45" t="n"/>
      <c r="N84" s="46" t="n"/>
      <c r="O84" s="45" t="n"/>
      <c r="P84" s="45" t="n"/>
    </row>
    <row r="85" customFormat="1" s="170">
      <c r="A85" s="158" t="inlineStr">
        <is>
          <t>Pintor</t>
        </is>
      </c>
      <c r="B85" s="158" t="inlineStr">
        <is>
          <t>Blanca</t>
        </is>
      </c>
      <c r="C85" s="158" t="n"/>
      <c r="D85" s="47" t="n"/>
      <c r="E85" s="47" t="n"/>
      <c r="F85" s="47" t="n"/>
      <c r="G85" s="153" t="n">
        <v>7</v>
      </c>
      <c r="H85" s="158" t="inlineStr">
        <is>
          <t>€/m2</t>
        </is>
      </c>
      <c r="I85" s="158" t="inlineStr">
        <is>
          <t>Guayaba</t>
        </is>
      </c>
      <c r="J85" s="153" t="n"/>
      <c r="K85" s="158" t="n"/>
      <c r="L85" s="153" t="n"/>
      <c r="M85" s="158" t="n"/>
      <c r="N85" s="153" t="n"/>
      <c r="O85" s="158" t="n"/>
      <c r="P85" s="153" t="n"/>
    </row>
    <row r="86" customFormat="1" s="170">
      <c r="A86" s="158" t="inlineStr">
        <is>
          <t>Pintor</t>
        </is>
      </c>
      <c r="B86" s="158" t="inlineStr">
        <is>
          <t>Color</t>
        </is>
      </c>
      <c r="C86" s="158" t="n"/>
      <c r="D86" s="47" t="n"/>
      <c r="E86" s="47" t="n"/>
      <c r="F86" s="47" t="n"/>
      <c r="G86" s="153" t="n">
        <v>10</v>
      </c>
      <c r="H86" s="158" t="inlineStr">
        <is>
          <t>€/m2</t>
        </is>
      </c>
      <c r="I86" s="158" t="inlineStr">
        <is>
          <t>Guayaba</t>
        </is>
      </c>
      <c r="J86" s="153" t="n"/>
      <c r="K86" s="158" t="n"/>
      <c r="L86" s="153" t="n"/>
      <c r="M86" s="158" t="n"/>
      <c r="N86" s="153" t="n"/>
      <c r="O86" s="158" t="n"/>
      <c r="P86" s="153" t="n"/>
    </row>
    <row r="87" customFormat="1" s="170">
      <c r="A87" s="158" t="inlineStr">
        <is>
          <t>Pintor</t>
        </is>
      </c>
      <c r="B87" s="158" t="inlineStr">
        <is>
          <t>1 Capa</t>
        </is>
      </c>
      <c r="C87" s="158" t="inlineStr">
        <is>
          <t>Almacen y Vinilo</t>
        </is>
      </c>
      <c r="D87" s="47" t="n"/>
      <c r="E87" s="47" t="n"/>
      <c r="F87" s="47" t="n"/>
      <c r="G87" s="153" t="n">
        <v>4.5</v>
      </c>
      <c r="H87" s="158" t="inlineStr">
        <is>
          <t>€/m2</t>
        </is>
      </c>
      <c r="I87" s="158" t="inlineStr">
        <is>
          <t>Guayaba</t>
        </is>
      </c>
      <c r="J87" s="153" t="n"/>
      <c r="K87" s="158" t="n"/>
      <c r="L87" s="153" t="n"/>
      <c r="M87" s="158" t="n"/>
      <c r="N87" s="153" t="n"/>
      <c r="O87" s="158" t="n"/>
      <c r="P87" s="153" t="n"/>
    </row>
    <row r="88" customFormat="1" s="170">
      <c r="A88" s="158" t="inlineStr">
        <is>
          <t>Pintor</t>
        </is>
      </c>
      <c r="B88" s="158" t="inlineStr">
        <is>
          <t>Barniz</t>
        </is>
      </c>
      <c r="C88" s="158" t="n"/>
      <c r="D88" s="47" t="n"/>
      <c r="E88" s="47" t="n"/>
      <c r="F88" s="47" t="n"/>
      <c r="G88" s="153" t="n">
        <v>11.5</v>
      </c>
      <c r="H88" s="158" t="inlineStr">
        <is>
          <t>€/m2</t>
        </is>
      </c>
      <c r="I88" s="158" t="inlineStr">
        <is>
          <t>Guayaba</t>
        </is>
      </c>
      <c r="J88" s="153" t="n"/>
      <c r="K88" s="158" t="n"/>
      <c r="L88" s="153" t="n"/>
      <c r="M88" s="158" t="n"/>
      <c r="N88" s="153" t="n"/>
      <c r="O88" s="158" t="n"/>
      <c r="P88" s="153" t="n"/>
    </row>
    <row r="89" customFormat="1" s="170">
      <c r="A89" s="158" t="inlineStr">
        <is>
          <t>Lacado</t>
        </is>
      </c>
      <c r="B89" s="158" t="inlineStr">
        <is>
          <t>Blanco</t>
        </is>
      </c>
      <c r="C89" s="158" t="inlineStr">
        <is>
          <t>Lacado blanco mueble montado</t>
        </is>
      </c>
      <c r="D89" s="47" t="n"/>
      <c r="E89" s="47" t="n"/>
      <c r="F89" s="47" t="n"/>
      <c r="G89" s="153">
        <f>COMPARATIVA!G127</f>
        <v/>
      </c>
      <c r="H89" s="158" t="inlineStr">
        <is>
          <t>€/m2</t>
        </is>
      </c>
      <c r="I89" s="158" t="inlineStr">
        <is>
          <t>Gopecosa</t>
        </is>
      </c>
      <c r="J89" s="153" t="n"/>
      <c r="K89" s="158" t="n"/>
      <c r="L89" s="153" t="n"/>
      <c r="M89" s="158" t="n"/>
      <c r="N89" s="153" t="n"/>
      <c r="O89" s="158" t="n"/>
      <c r="P89" s="153" t="n"/>
    </row>
    <row r="90" customFormat="1" s="170">
      <c r="A90" s="158" t="inlineStr">
        <is>
          <t>Lacado</t>
        </is>
      </c>
      <c r="B90" s="158" t="inlineStr">
        <is>
          <t>Color</t>
        </is>
      </c>
      <c r="C90" s="158" t="inlineStr">
        <is>
          <t>Lacado Color mueble montado</t>
        </is>
      </c>
      <c r="D90" s="47" t="n"/>
      <c r="E90" s="47" t="n"/>
      <c r="F90" s="47" t="n"/>
      <c r="G90" s="49">
        <f>COMPARATIVA!G128</f>
        <v/>
      </c>
      <c r="H90" s="158" t="inlineStr">
        <is>
          <t>€/m2</t>
        </is>
      </c>
      <c r="I90" s="158" t="inlineStr">
        <is>
          <t>Gopecosa</t>
        </is>
      </c>
      <c r="J90" s="153" t="n"/>
      <c r="K90" s="158" t="n"/>
      <c r="L90" s="153" t="n"/>
      <c r="M90" s="158" t="n"/>
      <c r="N90" s="153" t="n"/>
      <c r="O90" s="158" t="n"/>
      <c r="P90" s="153" t="n"/>
    </row>
    <row r="91" customFormat="1" s="170">
      <c r="A91" s="45" t="n"/>
      <c r="B91" s="45" t="n"/>
      <c r="C91" s="45" t="n"/>
      <c r="D91" s="45" t="n"/>
      <c r="E91" s="45" t="n"/>
      <c r="F91" s="45" t="n"/>
      <c r="G91" s="46" t="n"/>
      <c r="H91" s="45" t="n"/>
      <c r="I91" s="45" t="n"/>
      <c r="J91" s="46" t="n"/>
      <c r="K91" s="45" t="n"/>
      <c r="L91" s="46" t="n"/>
      <c r="M91" s="45" t="n"/>
      <c r="N91" s="46" t="n"/>
      <c r="O91" s="45" t="n"/>
      <c r="P91" s="45" t="n"/>
    </row>
    <row r="92" customFormat="1" s="170">
      <c r="A92" s="158" t="n"/>
      <c r="B92" s="158" t="n"/>
      <c r="C92" s="158" t="n"/>
      <c r="D92" s="158" t="n"/>
      <c r="E92" s="158" t="n"/>
      <c r="F92" s="158" t="n"/>
      <c r="G92" s="153" t="n"/>
      <c r="H92" s="158" t="n"/>
      <c r="I92" s="158" t="n"/>
      <c r="J92" s="153" t="n"/>
      <c r="K92" s="158" t="n"/>
      <c r="L92" s="153" t="n"/>
      <c r="M92" s="158" t="n"/>
      <c r="N92" s="153" t="n"/>
      <c r="O92" s="158" t="n"/>
      <c r="P92" s="153" t="n"/>
    </row>
    <row r="93" customFormat="1" s="170">
      <c r="A93" s="158" t="n"/>
      <c r="B93" s="158" t="n"/>
      <c r="C93" s="158" t="n"/>
      <c r="D93" s="158" t="n"/>
      <c r="E93" s="158" t="n"/>
      <c r="F93" s="158" t="n"/>
      <c r="G93" s="153" t="n"/>
      <c r="H93" s="158" t="n"/>
      <c r="I93" s="158" t="n"/>
      <c r="J93" s="153" t="n"/>
      <c r="K93" s="158" t="n"/>
      <c r="L93" s="153" t="n"/>
      <c r="M93" s="158" t="n"/>
      <c r="N93" s="153" t="n"/>
      <c r="O93" s="158" t="n"/>
      <c r="P93" s="153" t="n"/>
    </row>
    <row r="94" customFormat="1" s="170">
      <c r="A94" s="158" t="n"/>
      <c r="B94" s="158" t="n"/>
      <c r="C94" s="158" t="n"/>
      <c r="D94" s="158" t="n"/>
      <c r="E94" s="158" t="n"/>
      <c r="F94" s="158" t="n"/>
      <c r="G94" s="153" t="n"/>
      <c r="H94" s="158" t="n"/>
      <c r="I94" s="158" t="n"/>
      <c r="J94" s="153" t="n"/>
      <c r="K94" s="158" t="n"/>
      <c r="L94" s="153" t="n"/>
      <c r="M94" s="158" t="n"/>
      <c r="N94" s="153" t="n"/>
      <c r="O94" s="158" t="n"/>
      <c r="P94" s="153" t="n"/>
    </row>
    <row r="95" customFormat="1" s="170">
      <c r="A95" s="158" t="n"/>
      <c r="B95" s="158" t="n"/>
      <c r="C95" s="158" t="n"/>
      <c r="D95" s="158" t="n"/>
      <c r="E95" s="158" t="n"/>
      <c r="F95" s="158" t="n"/>
      <c r="G95" s="153" t="n"/>
      <c r="H95" s="158" t="n"/>
      <c r="I95" s="158" t="n"/>
      <c r="J95" s="153" t="n"/>
      <c r="K95" s="158" t="n"/>
      <c r="L95" s="153" t="n"/>
      <c r="M95" s="158" t="n"/>
      <c r="N95" s="153" t="n"/>
      <c r="O95" s="158" t="n"/>
      <c r="P95" s="153" t="n"/>
    </row>
    <row r="96" customFormat="1" s="170">
      <c r="A96" s="158" t="n"/>
      <c r="B96" s="158" t="n"/>
      <c r="C96" s="158" t="n"/>
      <c r="D96" s="158" t="n"/>
      <c r="E96" s="158" t="n"/>
      <c r="F96" s="158" t="n"/>
      <c r="G96" s="153" t="n"/>
      <c r="H96" s="158" t="n"/>
      <c r="I96" s="158" t="n"/>
      <c r="J96" s="153" t="n"/>
      <c r="K96" s="158" t="n"/>
      <c r="L96" s="153" t="n"/>
      <c r="M96" s="158" t="n"/>
      <c r="N96" s="153" t="n"/>
      <c r="O96" s="158" t="n"/>
      <c r="P96" s="153" t="n"/>
    </row>
    <row r="97" customFormat="1" s="170">
      <c r="A97" s="158" t="n"/>
      <c r="B97" s="158" t="n"/>
      <c r="C97" s="158" t="n"/>
      <c r="D97" s="158" t="n"/>
      <c r="E97" s="158" t="n"/>
      <c r="F97" s="158" t="n"/>
      <c r="G97" s="153" t="n"/>
      <c r="H97" s="158" t="n"/>
      <c r="I97" s="158" t="n"/>
      <c r="J97" s="153" t="n"/>
      <c r="K97" s="158" t="n"/>
      <c r="L97" s="153" t="n"/>
      <c r="M97" s="158" t="n"/>
      <c r="N97" s="153" t="n"/>
      <c r="O97" s="158" t="n"/>
      <c r="P97" s="153" t="n"/>
    </row>
    <row r="98" customFormat="1" s="170">
      <c r="A98" s="158" t="n"/>
      <c r="B98" s="158" t="n"/>
      <c r="C98" s="158" t="n"/>
      <c r="D98" s="158" t="n"/>
      <c r="E98" s="158" t="n"/>
      <c r="F98" s="158" t="n"/>
      <c r="G98" s="153" t="n"/>
      <c r="H98" s="158" t="n"/>
      <c r="I98" s="158" t="n"/>
      <c r="J98" s="153" t="n"/>
      <c r="K98" s="158" t="n"/>
      <c r="L98" s="153" t="n"/>
      <c r="M98" s="158" t="n"/>
      <c r="N98" s="153" t="n"/>
      <c r="O98" s="158" t="n"/>
      <c r="P98" s="153" t="n"/>
    </row>
    <row r="99" customFormat="1" s="170">
      <c r="A99" s="158" t="n"/>
      <c r="B99" s="158" t="n"/>
      <c r="C99" s="158" t="n"/>
      <c r="D99" s="158" t="n"/>
      <c r="E99" s="158" t="n"/>
      <c r="F99" s="158" t="n"/>
      <c r="G99" s="153" t="n"/>
      <c r="H99" s="158" t="n"/>
      <c r="I99" s="158" t="n"/>
      <c r="J99" s="153" t="n"/>
      <c r="K99" s="158" t="n"/>
      <c r="L99" s="153" t="n"/>
      <c r="M99" s="158" t="n"/>
      <c r="N99" s="153" t="n"/>
      <c r="O99" s="158" t="n"/>
      <c r="P99" s="153" t="n"/>
    </row>
    <row r="100" customFormat="1" s="170">
      <c r="A100" s="158" t="n"/>
      <c r="B100" s="158" t="n"/>
      <c r="C100" s="158" t="n"/>
      <c r="D100" s="158" t="n"/>
      <c r="E100" s="158" t="n"/>
      <c r="F100" s="158" t="n"/>
      <c r="G100" s="153" t="n"/>
      <c r="H100" s="158" t="n"/>
      <c r="I100" s="158" t="n"/>
      <c r="J100" s="153" t="n"/>
      <c r="K100" s="158" t="n"/>
      <c r="L100" s="153" t="n"/>
      <c r="M100" s="158" t="n"/>
      <c r="N100" s="153" t="n"/>
      <c r="O100" s="158" t="n"/>
      <c r="P100" s="153" t="n"/>
    </row>
    <row r="101" customFormat="1" s="170">
      <c r="A101" s="158" t="n"/>
      <c r="B101" s="158" t="n"/>
      <c r="C101" s="158" t="n"/>
      <c r="D101" s="158" t="n"/>
      <c r="E101" s="158" t="n"/>
      <c r="F101" s="158" t="n"/>
      <c r="G101" s="153" t="n"/>
      <c r="H101" s="158" t="n"/>
      <c r="I101" s="158" t="n"/>
      <c r="J101" s="153" t="n"/>
      <c r="K101" s="158" t="n"/>
      <c r="L101" s="153" t="n"/>
      <c r="M101" s="158" t="n"/>
      <c r="N101" s="153" t="n"/>
      <c r="O101" s="158" t="n"/>
      <c r="P101" s="153" t="n"/>
    </row>
    <row r="102" customFormat="1" s="170">
      <c r="A102" s="158" t="n"/>
      <c r="B102" s="158" t="n"/>
      <c r="C102" s="158" t="n"/>
      <c r="D102" s="158" t="n"/>
      <c r="E102" s="158" t="n"/>
      <c r="F102" s="158" t="n"/>
      <c r="G102" s="153" t="n"/>
      <c r="H102" s="158" t="n"/>
      <c r="I102" s="158" t="n"/>
      <c r="J102" s="153" t="n"/>
      <c r="K102" s="158" t="n"/>
      <c r="L102" s="153" t="n"/>
      <c r="M102" s="158" t="n"/>
      <c r="N102" s="153" t="n"/>
      <c r="O102" s="158" t="n"/>
      <c r="P102" s="153" t="n"/>
    </row>
    <row r="103" customFormat="1" s="170">
      <c r="A103" s="158" t="n"/>
      <c r="B103" s="158" t="n"/>
      <c r="C103" s="158" t="n"/>
      <c r="D103" s="158" t="n"/>
      <c r="E103" s="158" t="n"/>
      <c r="F103" s="158" t="n"/>
      <c r="G103" s="153" t="n"/>
      <c r="H103" s="158" t="n"/>
      <c r="I103" s="158" t="n"/>
      <c r="J103" s="153" t="n"/>
      <c r="K103" s="158" t="n"/>
      <c r="L103" s="153" t="n"/>
      <c r="M103" s="158" t="n"/>
      <c r="N103" s="153" t="n"/>
      <c r="O103" s="158" t="n"/>
      <c r="P103" s="153" t="n"/>
    </row>
    <row r="104" customFormat="1" s="170">
      <c r="A104" s="158" t="n"/>
      <c r="B104" s="158" t="n"/>
      <c r="C104" s="158" t="n"/>
      <c r="D104" s="158" t="n"/>
      <c r="E104" s="158" t="n"/>
      <c r="F104" s="158" t="n"/>
      <c r="G104" s="153" t="n"/>
      <c r="H104" s="158" t="n"/>
      <c r="I104" s="158" t="n"/>
      <c r="J104" s="153" t="n"/>
      <c r="K104" s="158" t="n"/>
      <c r="L104" s="153" t="n"/>
      <c r="M104" s="158" t="n"/>
      <c r="N104" s="153" t="n"/>
      <c r="O104" s="158" t="n"/>
      <c r="P104" s="153" t="n"/>
    </row>
    <row r="105" customFormat="1" s="170">
      <c r="A105" s="158" t="n"/>
      <c r="B105" s="158" t="n"/>
      <c r="C105" s="158" t="n"/>
      <c r="D105" s="158" t="n"/>
      <c r="E105" s="158" t="n"/>
      <c r="F105" s="158" t="n"/>
      <c r="G105" s="153" t="n"/>
      <c r="H105" s="158" t="n"/>
      <c r="I105" s="158" t="n"/>
      <c r="J105" s="153" t="n"/>
      <c r="K105" s="158" t="n"/>
      <c r="L105" s="153" t="n"/>
      <c r="M105" s="158" t="n"/>
      <c r="N105" s="153" t="n"/>
      <c r="O105" s="158" t="n"/>
      <c r="P105" s="153" t="n"/>
    </row>
    <row r="106" customFormat="1" s="170">
      <c r="A106" s="158" t="n"/>
      <c r="B106" s="158" t="n"/>
      <c r="C106" s="158" t="n"/>
      <c r="D106" s="158" t="n"/>
      <c r="E106" s="158" t="n"/>
      <c r="F106" s="158" t="n"/>
      <c r="G106" s="153" t="n"/>
      <c r="H106" s="158" t="n"/>
      <c r="I106" s="158" t="n"/>
      <c r="J106" s="153" t="n"/>
      <c r="K106" s="158" t="n"/>
      <c r="L106" s="153" t="n"/>
      <c r="M106" s="158" t="n"/>
      <c r="N106" s="153" t="n"/>
      <c r="O106" s="158" t="n"/>
      <c r="P106" s="153" t="n"/>
    </row>
    <row r="107" customFormat="1" s="170">
      <c r="G107" s="42" t="n"/>
      <c r="J107" s="42" t="n"/>
      <c r="L107" s="42" t="n"/>
      <c r="P107" s="42" t="n"/>
    </row>
    <row r="108" customFormat="1" s="170">
      <c r="G108" s="42" t="n"/>
      <c r="J108" s="42" t="n"/>
      <c r="L108" s="42" t="n"/>
      <c r="P108" s="42" t="n"/>
    </row>
    <row r="109" customFormat="1" s="170">
      <c r="G109" s="42" t="n"/>
      <c r="J109" s="42" t="n"/>
      <c r="L109" s="42" t="n"/>
      <c r="P109" s="42" t="n"/>
    </row>
    <row r="110" customFormat="1" s="170">
      <c r="G110" s="42" t="n"/>
      <c r="J110" s="42" t="n"/>
      <c r="L110" s="42" t="n"/>
      <c r="P110" s="42" t="n"/>
    </row>
    <row r="111" customFormat="1" s="170">
      <c r="G111" s="42" t="n"/>
      <c r="J111" s="42" t="n"/>
      <c r="L111" s="42" t="n"/>
      <c r="P111" s="42" t="n"/>
    </row>
    <row r="112" customFormat="1" s="170">
      <c r="G112" s="42" t="n"/>
      <c r="J112" s="42" t="n"/>
      <c r="L112" s="42" t="n"/>
      <c r="P112" s="42" t="n"/>
    </row>
    <row r="113" customFormat="1" s="170">
      <c r="G113" s="42" t="n"/>
      <c r="J113" s="42" t="n"/>
      <c r="L113" s="42" t="n"/>
      <c r="P113" s="42" t="n"/>
    </row>
    <row r="114" customFormat="1" s="170">
      <c r="G114" s="42" t="n"/>
      <c r="J114" s="42" t="n"/>
      <c r="L114" s="42" t="n"/>
      <c r="P114" s="42" t="n"/>
    </row>
    <row r="115" customFormat="1" s="170">
      <c r="G115" s="42" t="n"/>
      <c r="J115" s="42" t="n"/>
      <c r="L115" s="42" t="n"/>
      <c r="P115" s="42" t="n"/>
    </row>
    <row r="116" customFormat="1" s="170">
      <c r="G116" s="42" t="n"/>
      <c r="J116" s="42" t="n"/>
      <c r="L116" s="42" t="n"/>
      <c r="P116" s="42" t="n"/>
    </row>
    <row r="117" customFormat="1" s="170">
      <c r="G117" s="42" t="n"/>
      <c r="J117" s="42" t="n"/>
      <c r="L117" s="42" t="n"/>
      <c r="P117" s="42" t="n"/>
    </row>
    <row r="118" customFormat="1" s="170">
      <c r="G118" s="42" t="n"/>
      <c r="J118" s="42" t="n"/>
      <c r="L118" s="42" t="n"/>
      <c r="P118" s="42" t="n"/>
    </row>
  </sheetData>
  <mergeCells count="1">
    <mergeCell ref="J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6"/>
  <sheetViews>
    <sheetView zoomScale="130" zoomScaleNormal="130" workbookViewId="0">
      <pane ySplit="2" topLeftCell="A3" activePane="bottomLeft" state="frozen"/>
      <selection pane="bottomLeft" activeCell="N10" sqref="N10"/>
    </sheetView>
  </sheetViews>
  <sheetFormatPr baseColWidth="10" defaultRowHeight="14.5"/>
  <cols>
    <col width="19.36328125" bestFit="1" customWidth="1" style="192" min="2" max="2"/>
    <col width="50" customWidth="1" style="192" min="3" max="3"/>
    <col width="6.1796875" customWidth="1" style="192" min="4" max="4"/>
    <col width="7.36328125" bestFit="1" customWidth="1" style="192" min="5" max="5"/>
    <col width="6.90625" bestFit="1" customWidth="1" style="192" min="6" max="6"/>
    <col width="9.6328125" bestFit="1" customWidth="1" style="40" min="7" max="7"/>
    <col width="6.81640625" bestFit="1" customWidth="1" style="192" min="8" max="8"/>
    <col width="12.1796875" bestFit="1" customWidth="1" style="192" min="9" max="9"/>
    <col width="8" bestFit="1" customWidth="1" style="40" min="10" max="10"/>
    <col width="12.1796875" bestFit="1" customWidth="1" style="192" min="11" max="11"/>
    <col width="8" bestFit="1" customWidth="1" style="40" min="12" max="12"/>
    <col width="15.81640625" bestFit="1" customWidth="1" style="192" min="13" max="13"/>
    <col width="6.90625" bestFit="1" customWidth="1" style="192" min="14" max="14"/>
    <col width="13.1796875" bestFit="1" customWidth="1" style="192" min="15" max="15"/>
    <col width="9" bestFit="1" customWidth="1" style="40" min="16" max="16"/>
  </cols>
  <sheetData>
    <row r="1">
      <c r="J1" s="7" t="inlineStr">
        <is>
          <t>EXTRAS</t>
        </is>
      </c>
      <c r="K1" s="198" t="n"/>
      <c r="L1" s="198" t="n"/>
      <c r="M1" s="198" t="n"/>
      <c r="N1" s="198" t="n"/>
      <c r="O1" s="195" t="n"/>
    </row>
    <row r="2" ht="26.5" customHeight="1" s="192">
      <c r="A2" s="7" t="inlineStr">
        <is>
          <t>FAMILIA</t>
        </is>
      </c>
      <c r="B2" s="68" t="inlineStr">
        <is>
          <t>SUB.FAMILIA MATERIAL</t>
        </is>
      </c>
      <c r="C2" s="7" t="inlineStr">
        <is>
          <t>DESCRIPICON</t>
        </is>
      </c>
      <c r="D2" s="68" t="inlineStr">
        <is>
          <t>X (mm)</t>
        </is>
      </c>
      <c r="E2" s="68" t="inlineStr">
        <is>
          <t>Y (mm)</t>
        </is>
      </c>
      <c r="F2" s="68" t="inlineStr">
        <is>
          <t>Grosor (mm)</t>
        </is>
      </c>
      <c r="G2" s="67" t="inlineStr">
        <is>
          <t>PRECIO</t>
        </is>
      </c>
      <c r="H2" s="7" t="inlineStr">
        <is>
          <t>UNI</t>
        </is>
      </c>
      <c r="I2" s="7" t="inlineStr">
        <is>
          <t>PROVEEDOR</t>
        </is>
      </c>
      <c r="J2" s="67" t="inlineStr">
        <is>
          <t xml:space="preserve">€ </t>
        </is>
      </c>
      <c r="K2" s="7" t="inlineStr">
        <is>
          <t>Concepto</t>
        </is>
      </c>
      <c r="L2" s="67" t="inlineStr">
        <is>
          <t xml:space="preserve">€ </t>
        </is>
      </c>
      <c r="M2" s="7" t="inlineStr">
        <is>
          <t>Concepto</t>
        </is>
      </c>
      <c r="N2" s="67" t="inlineStr">
        <is>
          <t xml:space="preserve">€ </t>
        </is>
      </c>
      <c r="O2" s="7" t="inlineStr">
        <is>
          <t>Concepto</t>
        </is>
      </c>
      <c r="P2" s="7" t="inlineStr">
        <is>
          <t>€/Tablero</t>
        </is>
      </c>
    </row>
    <row r="3" customFormat="1" s="170">
      <c r="A3" s="158" t="inlineStr">
        <is>
          <t>Personal</t>
        </is>
      </c>
      <c r="B3" s="158" t="inlineStr">
        <is>
          <t>Diseño</t>
        </is>
      </c>
      <c r="C3" s="158" t="n"/>
      <c r="D3" s="47" t="n"/>
      <c r="E3" s="47" t="n"/>
      <c r="F3" s="47" t="n"/>
      <c r="G3" s="153" t="n">
        <v>21.26</v>
      </c>
      <c r="H3" s="158" t="inlineStr">
        <is>
          <t>€/h</t>
        </is>
      </c>
      <c r="I3" s="158" t="inlineStr">
        <is>
          <t>ESWood</t>
        </is>
      </c>
      <c r="J3" s="66" t="n"/>
      <c r="K3" s="47" t="n"/>
      <c r="L3" s="66" t="n"/>
      <c r="M3" s="47" t="n"/>
      <c r="N3" s="66" t="n"/>
      <c r="O3" s="47" t="n"/>
      <c r="P3" s="153" t="n"/>
    </row>
    <row r="4" customFormat="1" s="170">
      <c r="A4" s="158" t="inlineStr">
        <is>
          <t>Personal</t>
        </is>
      </c>
      <c r="B4" s="158" t="inlineStr">
        <is>
          <t>Fabricación</t>
        </is>
      </c>
      <c r="C4" s="158" t="n"/>
      <c r="D4" s="47" t="n"/>
      <c r="E4" s="47" t="n"/>
      <c r="F4" s="47" t="n"/>
      <c r="G4" s="153" t="n">
        <v>22.4</v>
      </c>
      <c r="H4" s="158" t="inlineStr">
        <is>
          <t>€/h</t>
        </is>
      </c>
      <c r="I4" s="158" t="inlineStr">
        <is>
          <t>ESWood</t>
        </is>
      </c>
      <c r="J4" s="153" t="n">
        <v>23.7</v>
      </c>
      <c r="K4" s="158" t="inlineStr">
        <is>
          <t>H. Extra</t>
        </is>
      </c>
      <c r="L4" s="153" t="n">
        <v>13.52</v>
      </c>
      <c r="M4" s="158" t="inlineStr">
        <is>
          <t>1/2Dieta</t>
        </is>
      </c>
      <c r="N4" s="153" t="n">
        <v>67</v>
      </c>
      <c r="O4" s="158" t="inlineStr">
        <is>
          <t>Dieta completa</t>
        </is>
      </c>
      <c r="P4" s="153" t="n"/>
    </row>
    <row r="5" customFormat="1" s="170">
      <c r="A5" s="158" t="inlineStr">
        <is>
          <t>Personal</t>
        </is>
      </c>
      <c r="B5" s="158" t="inlineStr">
        <is>
          <t>Montaje</t>
        </is>
      </c>
      <c r="C5" s="158" t="n"/>
      <c r="D5" s="47" t="n"/>
      <c r="E5" s="47" t="n"/>
      <c r="F5" s="47" t="n"/>
      <c r="G5" s="153" t="n">
        <v>19.23</v>
      </c>
      <c r="H5" s="158" t="inlineStr">
        <is>
          <t>€/h</t>
        </is>
      </c>
      <c r="I5" s="158" t="inlineStr">
        <is>
          <t>ESWood</t>
        </is>
      </c>
      <c r="J5" s="153" t="n">
        <v>23.7</v>
      </c>
      <c r="K5" s="158" t="inlineStr">
        <is>
          <t>H. Extra</t>
        </is>
      </c>
      <c r="L5" s="153" t="n">
        <v>13.52</v>
      </c>
      <c r="M5" s="158" t="inlineStr">
        <is>
          <t>1/2Dieta</t>
        </is>
      </c>
      <c r="N5" s="153" t="n">
        <v>67</v>
      </c>
      <c r="O5" s="158" t="inlineStr">
        <is>
          <t>Dieta completa</t>
        </is>
      </c>
      <c r="P5" s="153" t="n"/>
    </row>
    <row r="6" customFormat="1" s="170">
      <c r="A6" s="158" t="inlineStr">
        <is>
          <t>Personal</t>
        </is>
      </c>
      <c r="B6" s="158" t="inlineStr">
        <is>
          <t>Desmontaje</t>
        </is>
      </c>
      <c r="C6" s="158" t="n"/>
      <c r="D6" s="47" t="n"/>
      <c r="E6" s="47" t="n"/>
      <c r="F6" s="47" t="n"/>
      <c r="G6" s="153" t="n">
        <v>19.23</v>
      </c>
      <c r="H6" s="158" t="inlineStr">
        <is>
          <t>€/h</t>
        </is>
      </c>
      <c r="I6" s="158" t="inlineStr">
        <is>
          <t>ESWood</t>
        </is>
      </c>
      <c r="J6" s="153" t="n">
        <v>23.7</v>
      </c>
      <c r="K6" s="158" t="inlineStr">
        <is>
          <t>H. Extra</t>
        </is>
      </c>
      <c r="L6" s="153" t="n">
        <v>13.52</v>
      </c>
      <c r="M6" s="158" t="inlineStr">
        <is>
          <t>1/2Dieta</t>
        </is>
      </c>
      <c r="N6" s="153" t="n">
        <v>67</v>
      </c>
      <c r="O6" s="158" t="inlineStr">
        <is>
          <t>Dieta completa</t>
        </is>
      </c>
      <c r="P6" s="153" t="n"/>
    </row>
    <row r="7" customFormat="1" s="170">
      <c r="A7" s="158" t="inlineStr">
        <is>
          <t>Personal</t>
        </is>
      </c>
      <c r="B7" s="158" t="inlineStr">
        <is>
          <t>Externo</t>
        </is>
      </c>
      <c r="C7" s="158" t="inlineStr">
        <is>
          <t>Montaje / Desmontaje Externo al dia (German)</t>
        </is>
      </c>
      <c r="D7" s="47" t="n"/>
      <c r="E7" s="47" t="n"/>
      <c r="F7" s="47" t="n"/>
      <c r="G7" s="153" t="n">
        <v>250</v>
      </c>
      <c r="H7" s="158" t="inlineStr">
        <is>
          <t>dia</t>
        </is>
      </c>
      <c r="I7" s="158" t="inlineStr">
        <is>
          <t>German</t>
        </is>
      </c>
      <c r="J7" s="153" t="n"/>
      <c r="K7" s="158" t="n"/>
      <c r="L7" s="153" t="n"/>
      <c r="M7" s="158" t="n"/>
      <c r="N7" s="153" t="n"/>
      <c r="O7" s="158" t="n"/>
      <c r="P7" s="153" t="n"/>
    </row>
    <row r="8" customFormat="1" s="170">
      <c r="A8" s="158" t="inlineStr">
        <is>
          <t>Personal</t>
        </is>
      </c>
      <c r="B8" s="158" t="inlineStr">
        <is>
          <t xml:space="preserve">Coordinador Externo </t>
        </is>
      </c>
      <c r="C8" s="158" t="inlineStr">
        <is>
          <t>Montaje / Desmontaje Coordinador Externo al dia (German)</t>
        </is>
      </c>
      <c r="D8" s="47" t="n"/>
      <c r="E8" s="47" t="n"/>
      <c r="F8" s="47" t="n"/>
      <c r="G8" s="153" t="n">
        <v>300</v>
      </c>
      <c r="H8" s="158" t="inlineStr">
        <is>
          <t>dia</t>
        </is>
      </c>
      <c r="I8" s="158" t="inlineStr">
        <is>
          <t>German</t>
        </is>
      </c>
      <c r="J8" s="153" t="n"/>
      <c r="K8" s="158" t="n"/>
      <c r="L8" s="153" t="n"/>
      <c r="M8" s="158" t="n"/>
      <c r="N8" s="153" t="n"/>
      <c r="O8" s="158" t="n"/>
      <c r="P8" s="153" t="n"/>
    </row>
    <row r="9" customFormat="1" s="170">
      <c r="A9" s="158" t="inlineStr">
        <is>
          <t>Personal</t>
        </is>
      </c>
      <c r="B9" s="158" t="inlineStr">
        <is>
          <t>Externo+Herrameintas</t>
        </is>
      </c>
      <c r="C9" s="158" t="n"/>
      <c r="D9" s="47" t="n"/>
      <c r="E9" s="47" t="n"/>
      <c r="F9" s="47" t="n"/>
      <c r="G9" s="49" t="n"/>
      <c r="H9" s="158" t="n"/>
      <c r="I9" s="158" t="n"/>
      <c r="J9" s="153" t="n"/>
      <c r="K9" s="158" t="n"/>
      <c r="L9" s="153" t="n"/>
      <c r="M9" s="158" t="n"/>
      <c r="N9" s="153" t="n"/>
      <c r="O9" s="158" t="n"/>
      <c r="P9" s="153" t="n"/>
    </row>
    <row r="10" customFormat="1" s="170">
      <c r="A10" s="158" t="inlineStr">
        <is>
          <t>Personal</t>
        </is>
      </c>
      <c r="B10" s="158" t="inlineStr">
        <is>
          <t>Externo+Herrameintas</t>
        </is>
      </c>
      <c r="C10" s="158" t="n"/>
      <c r="D10" s="47" t="n"/>
      <c r="E10" s="47" t="n"/>
      <c r="F10" s="47" t="n"/>
      <c r="G10" s="49" t="n"/>
      <c r="H10" s="158" t="n"/>
      <c r="I10" s="158" t="n"/>
      <c r="J10" s="153" t="n"/>
      <c r="K10" s="158" t="n"/>
      <c r="L10" s="153" t="n"/>
      <c r="M10" s="158" t="n"/>
      <c r="N10" s="153" t="n"/>
      <c r="O10" s="158" t="n"/>
      <c r="P10" s="153" t="n"/>
    </row>
    <row r="11" customFormat="1" s="170">
      <c r="A11" s="158" t="inlineStr">
        <is>
          <t>CNC</t>
        </is>
      </c>
      <c r="B11" s="158" t="inlineStr">
        <is>
          <t>Corte</t>
        </is>
      </c>
      <c r="C11" s="158" t="n"/>
      <c r="D11" s="47" t="n"/>
      <c r="E11" s="47" t="n"/>
      <c r="F11" s="47" t="n"/>
      <c r="G11" s="153" t="n">
        <v>23</v>
      </c>
      <c r="H11" s="158" t="inlineStr">
        <is>
          <t>Tablero</t>
        </is>
      </c>
      <c r="I11" s="158" t="inlineStr">
        <is>
          <t>ESWood</t>
        </is>
      </c>
      <c r="J11" s="153" t="n"/>
      <c r="K11" s="158" t="n"/>
      <c r="L11" s="153" t="n"/>
      <c r="M11" s="158" t="n"/>
      <c r="N11" s="153" t="n"/>
      <c r="O11" s="158" t="n"/>
      <c r="P11" s="153" t="n"/>
    </row>
    <row r="12" customFormat="1" s="170">
      <c r="A12" s="45" t="n"/>
      <c r="B12" s="45" t="n"/>
      <c r="C12" s="45" t="n"/>
      <c r="D12" s="45" t="n"/>
      <c r="E12" s="45" t="n"/>
      <c r="F12" s="45" t="n"/>
      <c r="G12" s="46" t="n"/>
      <c r="H12" s="45" t="n"/>
      <c r="I12" s="45" t="n"/>
      <c r="J12" s="46" t="n"/>
      <c r="K12" s="45" t="n"/>
      <c r="L12" s="46" t="n"/>
      <c r="M12" s="45" t="n"/>
      <c r="N12" s="46" t="n"/>
      <c r="O12" s="45" t="n"/>
      <c r="P12" s="45" t="n"/>
    </row>
    <row r="13" customFormat="1" s="64">
      <c r="A13" s="160" t="inlineStr">
        <is>
          <t>Tablero</t>
        </is>
      </c>
      <c r="B13" s="160" t="inlineStr">
        <is>
          <t>Mel. Blanca</t>
        </is>
      </c>
      <c r="C13" s="160" t="inlineStr">
        <is>
          <t xml:space="preserve">Melamina Blanca 8685 BS  KRONOS </t>
        </is>
      </c>
      <c r="D13" s="160" t="n">
        <v>2800</v>
      </c>
      <c r="E13" s="160" t="n">
        <v>2070</v>
      </c>
      <c r="F13" s="87" t="n">
        <v>16</v>
      </c>
      <c r="G13" s="87" t="n">
        <v>4.79</v>
      </c>
      <c r="H13" s="160" t="inlineStr">
        <is>
          <t>€/m2</t>
        </is>
      </c>
      <c r="I13" s="87" t="inlineStr">
        <is>
          <t>Closa</t>
        </is>
      </c>
      <c r="J13" s="121" t="n">
        <v>0.58</v>
      </c>
      <c r="K13" s="160" t="inlineStr">
        <is>
          <t xml:space="preserve"> Corte (+/-m2)</t>
        </is>
      </c>
      <c r="L13" s="74" t="n">
        <v>1.35</v>
      </c>
      <c r="M13" s="74" t="inlineStr">
        <is>
          <t>Cadel (+/-m2)</t>
        </is>
      </c>
      <c r="N13" s="74" t="n"/>
      <c r="O13" s="74" t="n"/>
      <c r="P13" s="153">
        <f>((D13/1000)*(E13/1000))*G13</f>
        <v/>
      </c>
    </row>
    <row r="14" customFormat="1" s="170">
      <c r="A14" s="158" t="inlineStr">
        <is>
          <t>Tablero</t>
        </is>
      </c>
      <c r="B14" s="158" t="inlineStr">
        <is>
          <t>Mel. Blanca</t>
        </is>
      </c>
      <c r="C14" s="158" t="inlineStr">
        <is>
          <t>Melamina Blanco K-110 PE 2/c Sef 16 mm</t>
        </is>
      </c>
      <c r="D14" s="158" t="n">
        <v>2800</v>
      </c>
      <c r="E14" s="158" t="n">
        <v>2070</v>
      </c>
      <c r="F14" s="158" t="n">
        <v>16</v>
      </c>
      <c r="G14" s="153" t="n">
        <v>6.35</v>
      </c>
      <c r="H14" s="158" t="inlineStr">
        <is>
          <t>€/m2</t>
        </is>
      </c>
      <c r="I14" s="158" t="inlineStr">
        <is>
          <t>Mausa</t>
        </is>
      </c>
      <c r="J14" s="153" t="n">
        <v>1.98</v>
      </c>
      <c r="K14" s="158" t="inlineStr">
        <is>
          <t>Corte (+/-m2)</t>
        </is>
      </c>
      <c r="L14" s="153" t="n"/>
      <c r="M14" s="158" t="n"/>
      <c r="N14" s="153" t="n"/>
      <c r="O14" s="158" t="n"/>
      <c r="P14" s="153">
        <f>((D14/1000)*(E14/1000))*G14</f>
        <v/>
      </c>
    </row>
    <row r="15" customFormat="1" s="170">
      <c r="A15" s="158" t="inlineStr">
        <is>
          <t>Tablero</t>
        </is>
      </c>
      <c r="B15" s="158" t="inlineStr">
        <is>
          <t>Mel. Branca</t>
        </is>
      </c>
      <c r="C15" s="158" t="inlineStr">
        <is>
          <t>Melamina Blanca TIZA W908 ST7</t>
        </is>
      </c>
      <c r="D15" s="158" t="n">
        <v>2800</v>
      </c>
      <c r="E15" s="158" t="n">
        <v>2070</v>
      </c>
      <c r="F15" s="86" t="n">
        <v>16</v>
      </c>
      <c r="G15" s="86" t="n">
        <v>5.35</v>
      </c>
      <c r="H15" s="158" t="inlineStr">
        <is>
          <t>€/m2</t>
        </is>
      </c>
      <c r="I15" s="86" t="inlineStr">
        <is>
          <t>Albertch</t>
        </is>
      </c>
      <c r="J15" s="158" t="n"/>
      <c r="K15" s="158" t="n"/>
      <c r="L15" s="153" t="n"/>
      <c r="M15" s="158" t="n"/>
      <c r="N15" s="156" t="n">
        <v>5.16</v>
      </c>
      <c r="O15" s="156" t="inlineStr">
        <is>
          <t>Paquete</t>
        </is>
      </c>
      <c r="P15" s="153">
        <f>((D15/1000)*(E15/1000))*G15</f>
        <v/>
      </c>
    </row>
    <row r="16" customFormat="1" s="170">
      <c r="A16" s="158" t="inlineStr">
        <is>
          <t>Tablero</t>
        </is>
      </c>
      <c r="B16" s="158" t="inlineStr">
        <is>
          <t>Mel. Blanca</t>
        </is>
      </c>
      <c r="C16" s="158" t="inlineStr">
        <is>
          <t xml:space="preserve">Melamina Blanca 8685 BS  KRONOS </t>
        </is>
      </c>
      <c r="D16" s="158" t="n">
        <v>2800</v>
      </c>
      <c r="E16" s="158" t="n">
        <v>2070</v>
      </c>
      <c r="F16" s="86" t="n">
        <v>16</v>
      </c>
      <c r="G16" s="86" t="n">
        <v>5.07</v>
      </c>
      <c r="H16" s="158" t="inlineStr">
        <is>
          <t>€/m2</t>
        </is>
      </c>
      <c r="I16" s="86" t="inlineStr">
        <is>
          <t>Albertch</t>
        </is>
      </c>
      <c r="J16" s="158" t="n"/>
      <c r="K16" s="158" t="n"/>
      <c r="L16" s="153" t="n"/>
      <c r="M16" s="158" t="n"/>
      <c r="N16" s="156" t="n">
        <v>4.9</v>
      </c>
      <c r="O16" s="156" t="inlineStr">
        <is>
          <t>Paquete</t>
        </is>
      </c>
      <c r="P16" s="153">
        <f>((D16/1000)*(E16/1000))*G16</f>
        <v/>
      </c>
    </row>
    <row r="17" customFormat="1" s="64">
      <c r="A17" s="160" t="inlineStr">
        <is>
          <t>Tablero</t>
        </is>
      </c>
      <c r="B17" s="160" t="inlineStr">
        <is>
          <t>Mel. Negra</t>
        </is>
      </c>
      <c r="C17" s="160" t="inlineStr">
        <is>
          <t>Melamina Negra 16mm</t>
        </is>
      </c>
      <c r="D17" s="160" t="n">
        <v>2800</v>
      </c>
      <c r="E17" s="160" t="n">
        <v>2070</v>
      </c>
      <c r="F17" s="160" t="n">
        <v>16</v>
      </c>
      <c r="G17" s="121" t="n">
        <v>4.79</v>
      </c>
      <c r="H17" s="160" t="inlineStr">
        <is>
          <t>€/m2</t>
        </is>
      </c>
      <c r="I17" s="87" t="inlineStr">
        <is>
          <t>Closa</t>
        </is>
      </c>
      <c r="J17" s="121" t="n">
        <v>0.58</v>
      </c>
      <c r="K17" s="160" t="inlineStr">
        <is>
          <t xml:space="preserve"> Corte (+/-m2)</t>
        </is>
      </c>
      <c r="L17" s="74" t="n">
        <v>1.35</v>
      </c>
      <c r="M17" s="74" t="inlineStr">
        <is>
          <t>Cadel (+/-m2)</t>
        </is>
      </c>
      <c r="N17" s="121" t="n"/>
      <c r="O17" s="160" t="n"/>
      <c r="P17" s="153">
        <f>((D17/1000)*(E17/1000))*G17</f>
        <v/>
      </c>
    </row>
    <row r="18" customFormat="1" s="170">
      <c r="A18" s="158" t="inlineStr">
        <is>
          <t>Tablero</t>
        </is>
      </c>
      <c r="B18" s="158" t="inlineStr">
        <is>
          <t>Mel. Negra</t>
        </is>
      </c>
      <c r="C18" s="158" t="inlineStr">
        <is>
          <t>Melamina Negra U-190 VL 16 mm</t>
        </is>
      </c>
      <c r="D18" s="158" t="n">
        <v>2800</v>
      </c>
      <c r="E18" s="158" t="n">
        <v>2070</v>
      </c>
      <c r="F18" s="158" t="n">
        <v>16</v>
      </c>
      <c r="G18" s="49" t="n"/>
      <c r="H18" s="158" t="inlineStr">
        <is>
          <t>€/m2</t>
        </is>
      </c>
      <c r="I18" s="158" t="inlineStr">
        <is>
          <t>Mausa</t>
        </is>
      </c>
      <c r="J18" s="153" t="n">
        <v>1.98</v>
      </c>
      <c r="K18" s="158" t="inlineStr">
        <is>
          <t>Corte (+/-m2)</t>
        </is>
      </c>
      <c r="L18" s="153" t="n"/>
      <c r="M18" s="158" t="n"/>
      <c r="N18" s="153" t="n"/>
      <c r="O18" s="158" t="n"/>
      <c r="P18" s="153">
        <f>((D18/1000)*(E18/1000))*G18</f>
        <v/>
      </c>
    </row>
    <row r="19" customFormat="1" s="170">
      <c r="A19" s="158" t="inlineStr">
        <is>
          <t>Tablero</t>
        </is>
      </c>
      <c r="B19" s="158" t="inlineStr">
        <is>
          <t>Mel. Negra</t>
        </is>
      </c>
      <c r="C19" s="158" t="inlineStr">
        <is>
          <t>Melamina Negra 0190 BS KRONOS</t>
        </is>
      </c>
      <c r="D19" s="158" t="n">
        <v>2850</v>
      </c>
      <c r="E19" s="158" t="n">
        <v>2100</v>
      </c>
      <c r="F19" s="86" t="n">
        <v>16</v>
      </c>
      <c r="G19" s="86" t="n">
        <v>5.07</v>
      </c>
      <c r="H19" s="158" t="inlineStr">
        <is>
          <t>€/m2</t>
        </is>
      </c>
      <c r="I19" s="86" t="inlineStr">
        <is>
          <t>Albertch</t>
        </is>
      </c>
      <c r="J19" s="156" t="n"/>
      <c r="K19" s="156" t="n"/>
      <c r="L19" s="153" t="n"/>
      <c r="M19" s="158" t="n"/>
      <c r="N19" s="156" t="n">
        <v>4.9</v>
      </c>
      <c r="O19" s="156" t="inlineStr">
        <is>
          <t>Paquete</t>
        </is>
      </c>
      <c r="P19" s="153">
        <f>((D19/1000)*(E19/1000))*G19</f>
        <v/>
      </c>
    </row>
    <row r="20" customFormat="1" s="64">
      <c r="A20" s="160" t="inlineStr">
        <is>
          <t>Tablero</t>
        </is>
      </c>
      <c r="B20" s="160" t="inlineStr">
        <is>
          <t>Mel. Velvet</t>
        </is>
      </c>
      <c r="C20" s="160" t="inlineStr">
        <is>
          <t>Melamina Velvet Oak D-2693 MW 16 mm</t>
        </is>
      </c>
      <c r="D20" s="160" t="n">
        <v>2800</v>
      </c>
      <c r="E20" s="160" t="n">
        <v>2070</v>
      </c>
      <c r="F20" s="160" t="n">
        <v>16</v>
      </c>
      <c r="G20" s="73" t="n"/>
      <c r="H20" s="160" t="inlineStr">
        <is>
          <t>€/m2</t>
        </is>
      </c>
      <c r="I20" s="160" t="inlineStr">
        <is>
          <t>Mausa</t>
        </is>
      </c>
      <c r="J20" s="121" t="n">
        <v>1.98</v>
      </c>
      <c r="K20" s="160" t="inlineStr">
        <is>
          <t>Corte (+/-m2)</t>
        </is>
      </c>
      <c r="L20" s="121" t="n"/>
      <c r="M20" s="160" t="n"/>
      <c r="N20" s="121" t="n"/>
      <c r="O20" s="160" t="n"/>
      <c r="P20" s="153">
        <f>((D20/1000)*(E20/1000))*G20</f>
        <v/>
      </c>
    </row>
    <row r="21" customFormat="1" s="64">
      <c r="A21" s="160" t="inlineStr">
        <is>
          <t>Tablero</t>
        </is>
      </c>
      <c r="B21" s="160" t="inlineStr">
        <is>
          <t>Mel. Niagra</t>
        </is>
      </c>
      <c r="C21" s="160" t="inlineStr">
        <is>
          <t>Melamina Niagara Oak D-2240 VL 16 mm</t>
        </is>
      </c>
      <c r="D21" s="160" t="n">
        <v>2800</v>
      </c>
      <c r="E21" s="160" t="n">
        <v>2070</v>
      </c>
      <c r="F21" s="160" t="n">
        <v>16</v>
      </c>
      <c r="G21" s="121" t="n">
        <v>9.800000000000001</v>
      </c>
      <c r="H21" s="160" t="inlineStr">
        <is>
          <t>€/m2</t>
        </is>
      </c>
      <c r="I21" s="160" t="inlineStr">
        <is>
          <t>Mausa</t>
        </is>
      </c>
      <c r="J21" s="121" t="n">
        <v>1.98</v>
      </c>
      <c r="K21" s="160" t="inlineStr">
        <is>
          <t>Corte (+/-m2)</t>
        </is>
      </c>
      <c r="L21" s="121" t="n"/>
      <c r="M21" s="160" t="n"/>
      <c r="N21" s="121" t="n"/>
      <c r="O21" s="160" t="n"/>
      <c r="P21" s="153">
        <f>((D21/1000)*(E21/1000))*G21</f>
        <v/>
      </c>
    </row>
    <row r="22" customFormat="1" s="64">
      <c r="A22" s="160" t="inlineStr">
        <is>
          <t>Tablero</t>
        </is>
      </c>
      <c r="B22" s="160" t="inlineStr">
        <is>
          <t>Mel. Papaya</t>
        </is>
      </c>
      <c r="C22" s="160" t="inlineStr">
        <is>
          <t>Melamina Monument Papaya Luxor 19 mm</t>
        </is>
      </c>
      <c r="D22" s="160" t="n">
        <v>2850</v>
      </c>
      <c r="E22" s="160" t="n">
        <v>2100</v>
      </c>
      <c r="F22" s="160" t="n">
        <v>19</v>
      </c>
      <c r="G22" s="73" t="n"/>
      <c r="H22" s="160" t="inlineStr">
        <is>
          <t>€/m2</t>
        </is>
      </c>
      <c r="I22" s="160" t="inlineStr">
        <is>
          <t>Mausa</t>
        </is>
      </c>
      <c r="J22" s="121" t="n">
        <v>1.98</v>
      </c>
      <c r="K22" s="160" t="inlineStr">
        <is>
          <t>Corte (+/-m2)</t>
        </is>
      </c>
      <c r="L22" s="121" t="n"/>
      <c r="M22" s="160" t="n"/>
      <c r="N22" s="121" t="n"/>
      <c r="O22" s="160" t="n"/>
      <c r="P22" s="153">
        <f>((D22/1000)*(E22/1000))*G22</f>
        <v/>
      </c>
    </row>
    <row r="23" customFormat="1" s="170">
      <c r="A23" s="83" t="n"/>
      <c r="B23" s="83" t="n"/>
      <c r="C23" s="83" t="n"/>
      <c r="D23" s="83" t="n"/>
      <c r="E23" s="83" t="n"/>
      <c r="F23" s="85" t="n"/>
      <c r="G23" s="85" t="n"/>
      <c r="H23" s="85" t="n"/>
      <c r="I23" s="85" t="n"/>
      <c r="J23" s="85" t="n"/>
      <c r="K23" s="83" t="n"/>
      <c r="L23" s="84" t="n"/>
      <c r="M23" s="83" t="n"/>
      <c r="N23" s="84" t="n"/>
      <c r="O23" s="83" t="n"/>
      <c r="P23" s="45" t="n"/>
    </row>
    <row r="24" customFormat="1" s="64">
      <c r="A24" s="160" t="inlineStr">
        <is>
          <t>Tablero</t>
        </is>
      </c>
      <c r="B24" s="160" t="inlineStr">
        <is>
          <t>Aglomerado</t>
        </is>
      </c>
      <c r="C24" s="160" t="inlineStr">
        <is>
          <t>Aglomerado 1a standard 16mm</t>
        </is>
      </c>
      <c r="D24" s="160" t="n">
        <v>2800</v>
      </c>
      <c r="E24" s="160" t="n">
        <v>2070</v>
      </c>
      <c r="F24" s="160" t="n">
        <v>16</v>
      </c>
      <c r="G24" s="121" t="n">
        <v>3.78</v>
      </c>
      <c r="H24" s="160" t="inlineStr">
        <is>
          <t>€/m2</t>
        </is>
      </c>
      <c r="I24" s="160" t="inlineStr">
        <is>
          <t>Closa</t>
        </is>
      </c>
      <c r="J24" s="121" t="n">
        <v>0.58</v>
      </c>
      <c r="K24" s="160" t="inlineStr">
        <is>
          <t xml:space="preserve"> Corte (+/-m2)</t>
        </is>
      </c>
      <c r="L24" s="74" t="n">
        <v>1.35</v>
      </c>
      <c r="M24" s="74" t="inlineStr">
        <is>
          <t>Cadel (+/-m2)</t>
        </is>
      </c>
      <c r="N24" s="74" t="n"/>
      <c r="O24" s="74" t="n"/>
      <c r="P24" s="153">
        <f>((D24/1000)*(E24/1000))*G24</f>
        <v/>
      </c>
    </row>
    <row r="25" customFormat="1" s="170">
      <c r="A25" s="158" t="inlineStr">
        <is>
          <t>Tablero</t>
        </is>
      </c>
      <c r="B25" s="158" t="inlineStr">
        <is>
          <t>Aglomerado</t>
        </is>
      </c>
      <c r="C25" s="59" t="inlineStr">
        <is>
          <t>Aglomerado 1a standard 16mm</t>
        </is>
      </c>
      <c r="D25" s="59" t="n">
        <v>2800</v>
      </c>
      <c r="E25" s="59" t="n">
        <v>2070</v>
      </c>
      <c r="F25" s="59" t="n">
        <v>16</v>
      </c>
      <c r="G25" s="146" t="n">
        <v>3.69</v>
      </c>
      <c r="H25" s="59" t="inlineStr">
        <is>
          <t>€/m2</t>
        </is>
      </c>
      <c r="I25" s="79" t="inlineStr">
        <is>
          <t xml:space="preserve">Albaertch </t>
        </is>
      </c>
      <c r="J25" s="80" t="n"/>
      <c r="K25" s="79" t="n"/>
      <c r="L25" s="82" t="n"/>
      <c r="M25" s="81" t="n"/>
      <c r="N25" s="80" t="n">
        <v>3.57</v>
      </c>
      <c r="O25" s="79" t="inlineStr">
        <is>
          <t>Paquete</t>
        </is>
      </c>
      <c r="P25" s="153">
        <f>((D25/1000)*(E25/1000))*G25</f>
        <v/>
      </c>
    </row>
    <row r="26" customFormat="1" s="170">
      <c r="A26" s="158" t="inlineStr">
        <is>
          <t>Tablero</t>
        </is>
      </c>
      <c r="B26" s="158" t="inlineStr">
        <is>
          <t>Aglomerado</t>
        </is>
      </c>
      <c r="C26" s="158" t="inlineStr">
        <is>
          <t>Aglomerado 1a standard 16mm</t>
        </is>
      </c>
      <c r="D26" s="158" t="n">
        <v>2800</v>
      </c>
      <c r="E26" s="158" t="n">
        <v>2070</v>
      </c>
      <c r="F26" s="158" t="n">
        <v>16</v>
      </c>
      <c r="G26" s="153" t="n">
        <v>4.02</v>
      </c>
      <c r="H26" s="158" t="inlineStr">
        <is>
          <t>€/m2</t>
        </is>
      </c>
      <c r="I26" s="158" t="inlineStr">
        <is>
          <t>Gabarro</t>
        </is>
      </c>
      <c r="J26" s="146">
        <f>425.35/235</f>
        <v/>
      </c>
      <c r="K26" s="59" t="inlineStr">
        <is>
          <t>Corte (+/-m2)</t>
        </is>
      </c>
      <c r="L26" s="146">
        <f>428.61/296</f>
        <v/>
      </c>
      <c r="M26" s="59" t="inlineStr">
        <is>
          <t>Cadel (+/-m2)</t>
        </is>
      </c>
      <c r="N26" s="52" t="n"/>
      <c r="O26" s="51" t="n"/>
      <c r="P26" s="153">
        <f>((D26/1000)*(E26/1000))*G26</f>
        <v/>
      </c>
    </row>
    <row r="27" customFormat="1" s="170">
      <c r="A27" s="158" t="inlineStr">
        <is>
          <t>Tablero</t>
        </is>
      </c>
      <c r="B27" s="158" t="inlineStr">
        <is>
          <t>Aglomerado</t>
        </is>
      </c>
      <c r="C27" s="158" t="inlineStr">
        <is>
          <t>Aglomerado 1a standard 16mm</t>
        </is>
      </c>
      <c r="D27" s="158" t="n">
        <v>2800</v>
      </c>
      <c r="E27" s="158" t="n">
        <v>2070</v>
      </c>
      <c r="F27" s="158" t="n">
        <v>16</v>
      </c>
      <c r="G27" s="153" t="n">
        <v>4.65</v>
      </c>
      <c r="H27" s="158" t="inlineStr">
        <is>
          <t>€/m2</t>
        </is>
      </c>
      <c r="I27" s="158" t="inlineStr">
        <is>
          <t>Mausa</t>
        </is>
      </c>
      <c r="J27" s="153" t="n">
        <v>1.98</v>
      </c>
      <c r="K27" s="158" t="inlineStr">
        <is>
          <t>Corte (+/-m2)</t>
        </is>
      </c>
      <c r="L27" s="146" t="n"/>
      <c r="M27" s="59" t="n"/>
      <c r="N27" s="52" t="n"/>
      <c r="O27" s="51" t="n"/>
      <c r="P27" s="153">
        <f>((D27/1000)*(E27/1000))*G27</f>
        <v/>
      </c>
    </row>
    <row r="28" customFormat="1" s="64">
      <c r="A28" s="160" t="inlineStr">
        <is>
          <t>Tablero</t>
        </is>
      </c>
      <c r="B28" s="160" t="inlineStr">
        <is>
          <t>Aglomerado</t>
        </is>
      </c>
      <c r="C28" s="160" t="inlineStr">
        <is>
          <t>Aglomerado 1a standard 16mm</t>
        </is>
      </c>
      <c r="D28" s="160" t="n">
        <v>3660</v>
      </c>
      <c r="E28" s="160" t="n">
        <v>2070</v>
      </c>
      <c r="F28" s="160" t="n">
        <v>16</v>
      </c>
      <c r="G28" s="121" t="n">
        <v>3.78</v>
      </c>
      <c r="H28" s="160" t="inlineStr">
        <is>
          <t>€/m2</t>
        </is>
      </c>
      <c r="I28" s="160" t="inlineStr">
        <is>
          <t>Closa</t>
        </is>
      </c>
      <c r="J28" s="121" t="n">
        <v>0.58</v>
      </c>
      <c r="K28" s="160" t="inlineStr">
        <is>
          <t xml:space="preserve"> Corte (+/-m2)</t>
        </is>
      </c>
      <c r="L28" s="74" t="n">
        <v>1.35</v>
      </c>
      <c r="M28" s="74" t="inlineStr">
        <is>
          <t>Cadel (+/-m2)</t>
        </is>
      </c>
      <c r="N28" s="121" t="n"/>
      <c r="O28" s="160" t="n"/>
      <c r="P28" s="153">
        <f>((D28/1000)*(E28/1000))*G28</f>
        <v/>
      </c>
    </row>
    <row r="29" customFormat="1" s="170">
      <c r="A29" s="158" t="inlineStr">
        <is>
          <t>Tablero</t>
        </is>
      </c>
      <c r="B29" s="158" t="inlineStr">
        <is>
          <t>Aglomerado</t>
        </is>
      </c>
      <c r="C29" s="158" t="inlineStr">
        <is>
          <t>Aglomerado 1a standard 16mm</t>
        </is>
      </c>
      <c r="D29" s="158" t="n">
        <v>3660</v>
      </c>
      <c r="E29" s="158" t="n">
        <v>2070</v>
      </c>
      <c r="F29" s="158" t="n">
        <v>16</v>
      </c>
      <c r="G29" s="153" t="n">
        <v>4.02</v>
      </c>
      <c r="H29" s="158" t="inlineStr">
        <is>
          <t>€/m2</t>
        </is>
      </c>
      <c r="I29" s="158" t="inlineStr">
        <is>
          <t>Gabarro</t>
        </is>
      </c>
      <c r="J29" s="146">
        <f>425.35/235</f>
        <v/>
      </c>
      <c r="K29" s="59" t="inlineStr">
        <is>
          <t>Corte (+/-m2)</t>
        </is>
      </c>
      <c r="L29" s="146">
        <f>428.61/296</f>
        <v/>
      </c>
      <c r="M29" s="59" t="inlineStr">
        <is>
          <t>Cadel (+/-m2)</t>
        </is>
      </c>
      <c r="N29" s="153" t="n"/>
      <c r="O29" s="158" t="n"/>
      <c r="P29" s="153">
        <f>((D29/1000)*(E29/1000))*G29</f>
        <v/>
      </c>
    </row>
    <row r="30" customFormat="1" s="170">
      <c r="A30" s="158" t="inlineStr">
        <is>
          <t>Tablero</t>
        </is>
      </c>
      <c r="B30" s="158" t="inlineStr">
        <is>
          <t>Aglomerado</t>
        </is>
      </c>
      <c r="C30" s="158" t="inlineStr">
        <is>
          <t>Aglomerado 1a standard 16mm</t>
        </is>
      </c>
      <c r="D30" s="158" t="n">
        <v>3660</v>
      </c>
      <c r="E30" s="158" t="n">
        <v>2070</v>
      </c>
      <c r="F30" s="158" t="n">
        <v>16</v>
      </c>
      <c r="G30" s="153" t="n">
        <v>4.65</v>
      </c>
      <c r="H30" s="158" t="inlineStr">
        <is>
          <t>€/m2</t>
        </is>
      </c>
      <c r="I30" s="158" t="inlineStr">
        <is>
          <t>Mausa</t>
        </is>
      </c>
      <c r="J30" s="153" t="n">
        <v>1.98</v>
      </c>
      <c r="K30" s="158" t="inlineStr">
        <is>
          <t>Corte (+/-m2)</t>
        </is>
      </c>
      <c r="L30" s="146" t="n"/>
      <c r="M30" s="59" t="n"/>
      <c r="N30" s="153" t="n"/>
      <c r="O30" s="158" t="n"/>
      <c r="P30" s="153">
        <f>((D30/1000)*(E30/1000))*G30</f>
        <v/>
      </c>
    </row>
    <row r="31" customFormat="1" s="64">
      <c r="A31" s="160" t="inlineStr">
        <is>
          <t>Tablero</t>
        </is>
      </c>
      <c r="B31" s="160" t="inlineStr">
        <is>
          <t>Aglomerado</t>
        </is>
      </c>
      <c r="C31" s="160" t="inlineStr">
        <is>
          <t>Aglomerado 1a standard 16mm</t>
        </is>
      </c>
      <c r="D31" s="160" t="n">
        <v>3050</v>
      </c>
      <c r="E31" s="160" t="n">
        <v>2070</v>
      </c>
      <c r="F31" s="160" t="n">
        <v>16</v>
      </c>
      <c r="G31" s="121" t="n">
        <v>4.61</v>
      </c>
      <c r="H31" s="160" t="inlineStr">
        <is>
          <t>€/m2</t>
        </is>
      </c>
      <c r="I31" s="160" t="inlineStr">
        <is>
          <t>Gabarro</t>
        </is>
      </c>
      <c r="J31" s="121">
        <f>425.35/235</f>
        <v/>
      </c>
      <c r="K31" s="160" t="inlineStr">
        <is>
          <t>Corte (+/-m2)</t>
        </is>
      </c>
      <c r="L31" s="121">
        <f>428.61/296</f>
        <v/>
      </c>
      <c r="M31" s="160" t="inlineStr">
        <is>
          <t>Cadel (+/-m2)</t>
        </is>
      </c>
      <c r="N31" s="121" t="n"/>
      <c r="O31" s="160" t="n"/>
      <c r="P31" s="153">
        <f>((D31/1000)*(E31/1000))*G31</f>
        <v/>
      </c>
    </row>
    <row r="32" customFormat="1" s="64">
      <c r="A32" s="158" t="inlineStr">
        <is>
          <t>Tablero</t>
        </is>
      </c>
      <c r="B32" s="158" t="inlineStr">
        <is>
          <t>Aglomerado</t>
        </is>
      </c>
      <c r="C32" s="158" t="inlineStr">
        <is>
          <t>Aglomerado 1a standard 16mm</t>
        </is>
      </c>
      <c r="D32" s="158" t="n">
        <v>3050</v>
      </c>
      <c r="E32" s="158" t="n">
        <v>2070</v>
      </c>
      <c r="F32" s="158" t="n">
        <v>16</v>
      </c>
      <c r="G32" s="153" t="n">
        <v>3.69</v>
      </c>
      <c r="H32" s="158" t="inlineStr">
        <is>
          <t>€/m2</t>
        </is>
      </c>
      <c r="I32" s="156" t="inlineStr">
        <is>
          <t xml:space="preserve">Albaertch </t>
        </is>
      </c>
      <c r="J32" s="121" t="n"/>
      <c r="K32" s="160" t="n"/>
      <c r="L32" s="121" t="n"/>
      <c r="M32" s="160" t="n"/>
      <c r="N32" s="157" t="n">
        <v>3.57</v>
      </c>
      <c r="O32" s="156" t="inlineStr">
        <is>
          <t>Paquete</t>
        </is>
      </c>
      <c r="P32" s="153">
        <f>((D32/1000)*(E32/1000))*G32</f>
        <v/>
      </c>
    </row>
    <row r="33" customFormat="1" s="64">
      <c r="A33" s="160" t="inlineStr">
        <is>
          <t>Tablero</t>
        </is>
      </c>
      <c r="B33" s="160" t="inlineStr">
        <is>
          <t>Aglomerado</t>
        </is>
      </c>
      <c r="C33" s="160" t="inlineStr">
        <is>
          <t>Aglomerado 1a standard 16mm</t>
        </is>
      </c>
      <c r="D33" s="160" t="n">
        <v>4000</v>
      </c>
      <c r="E33" s="160" t="n">
        <v>2070</v>
      </c>
      <c r="F33" s="160" t="n">
        <v>16</v>
      </c>
      <c r="G33" s="121" t="n">
        <v>4.61</v>
      </c>
      <c r="H33" s="160" t="inlineStr">
        <is>
          <t>€/m2</t>
        </is>
      </c>
      <c r="I33" s="160" t="inlineStr">
        <is>
          <t>Gabarro</t>
        </is>
      </c>
      <c r="J33" s="121">
        <f>425.35/235</f>
        <v/>
      </c>
      <c r="K33" s="160" t="inlineStr">
        <is>
          <t>Corte (+/-m2)</t>
        </is>
      </c>
      <c r="L33" s="121">
        <f>428.61/296</f>
        <v/>
      </c>
      <c r="M33" s="160" t="inlineStr">
        <is>
          <t>Cadel (+/-m2)</t>
        </is>
      </c>
      <c r="N33" s="121" t="n"/>
      <c r="O33" s="160" t="n"/>
      <c r="P33" s="153">
        <f>((D33/1000)*(E33/1000))*G33</f>
        <v/>
      </c>
    </row>
    <row r="34" customFormat="1" s="170">
      <c r="A34" s="158" t="inlineStr">
        <is>
          <t>Tablero</t>
        </is>
      </c>
      <c r="B34" s="158" t="inlineStr">
        <is>
          <t>Aglomerado</t>
        </is>
      </c>
      <c r="C34" s="158" t="inlineStr">
        <is>
          <t>Aglomerado 1a standard 16mm</t>
        </is>
      </c>
      <c r="D34" s="158" t="n">
        <v>4000</v>
      </c>
      <c r="E34" s="158" t="n">
        <v>2070</v>
      </c>
      <c r="F34" s="158" t="n">
        <v>16</v>
      </c>
      <c r="G34" s="153" t="n">
        <v>3.69</v>
      </c>
      <c r="H34" s="158" t="inlineStr">
        <is>
          <t>€/m2</t>
        </is>
      </c>
      <c r="I34" s="156" t="inlineStr">
        <is>
          <t xml:space="preserve">Albaertch </t>
        </is>
      </c>
      <c r="J34" s="121" t="n"/>
      <c r="K34" s="160" t="n"/>
      <c r="L34" s="121" t="n"/>
      <c r="M34" s="160" t="n"/>
      <c r="N34" s="157" t="n">
        <v>3.57</v>
      </c>
      <c r="O34" s="156" t="inlineStr">
        <is>
          <t>Paquete</t>
        </is>
      </c>
      <c r="P34" s="153">
        <f>((D34/1000)*(E34/1000))*G34</f>
        <v/>
      </c>
    </row>
    <row r="35" customFormat="1" s="170">
      <c r="A35" s="160" t="inlineStr">
        <is>
          <t>Tablero</t>
        </is>
      </c>
      <c r="B35" s="160" t="inlineStr">
        <is>
          <t>Aglomerado</t>
        </is>
      </c>
      <c r="C35" s="160" t="inlineStr">
        <is>
          <t>Aglomerado 1a standard 19mm</t>
        </is>
      </c>
      <c r="D35" s="160" t="n">
        <v>2800</v>
      </c>
      <c r="E35" s="160" t="n">
        <v>2070</v>
      </c>
      <c r="F35" s="160" t="n">
        <v>19</v>
      </c>
      <c r="G35" s="73" t="n">
        <v>4.53</v>
      </c>
      <c r="H35" s="160" t="inlineStr">
        <is>
          <t>€/m2</t>
        </is>
      </c>
      <c r="I35" s="160" t="inlineStr">
        <is>
          <t>Closa</t>
        </is>
      </c>
      <c r="J35" s="121" t="n">
        <v>0.58</v>
      </c>
      <c r="K35" s="160" t="inlineStr">
        <is>
          <t xml:space="preserve"> Corte (+/-m2)</t>
        </is>
      </c>
      <c r="L35" s="74" t="n">
        <v>1.35</v>
      </c>
      <c r="M35" s="74" t="inlineStr">
        <is>
          <t>Cadel (+/-m2)</t>
        </is>
      </c>
      <c r="N35" s="121" t="n"/>
      <c r="O35" s="160" t="n"/>
      <c r="P35" s="153">
        <f>((D35/1000)*(E35/1000))*G35</f>
        <v/>
      </c>
    </row>
    <row r="36" customFormat="1" s="170">
      <c r="A36" s="45" t="n"/>
      <c r="B36" s="45" t="n"/>
      <c r="C36" s="45" t="n"/>
      <c r="D36" s="45" t="n"/>
      <c r="E36" s="45" t="n"/>
      <c r="F36" s="45" t="n"/>
      <c r="G36" s="46" t="n"/>
      <c r="H36" s="45" t="n"/>
      <c r="I36" s="56" t="n"/>
      <c r="J36" s="78" t="n"/>
      <c r="K36" s="77" t="n"/>
      <c r="L36" s="78" t="n"/>
      <c r="M36" s="77" t="n"/>
      <c r="N36" s="62" t="n"/>
      <c r="O36" s="56" t="n"/>
      <c r="P36" s="45" t="n"/>
    </row>
    <row r="37" customFormat="1" s="170">
      <c r="A37" s="160" t="inlineStr">
        <is>
          <t>Tablero</t>
        </is>
      </c>
      <c r="B37" s="160" t="inlineStr">
        <is>
          <t>MDF Blanco</t>
        </is>
      </c>
      <c r="C37" s="160" t="inlineStr">
        <is>
          <t>MDF Lacado Blanco 1/Cara</t>
        </is>
      </c>
      <c r="D37" s="160" t="n">
        <v>244</v>
      </c>
      <c r="E37" s="160" t="n">
        <v>122</v>
      </c>
      <c r="F37" s="160" t="n">
        <v>5</v>
      </c>
      <c r="G37" s="121" t="n">
        <v>5.07</v>
      </c>
      <c r="H37" s="160" t="inlineStr">
        <is>
          <t>€/m2</t>
        </is>
      </c>
      <c r="I37" s="160" t="inlineStr">
        <is>
          <t>Closa</t>
        </is>
      </c>
      <c r="J37" s="73" t="n">
        <v>0.58</v>
      </c>
      <c r="K37" s="160" t="inlineStr">
        <is>
          <t>Corte (+/- m2)</t>
        </is>
      </c>
      <c r="L37" s="146" t="n"/>
      <c r="M37" s="59" t="n"/>
      <c r="N37" s="153" t="n"/>
      <c r="O37" s="158" t="n"/>
      <c r="P37" s="153">
        <f>((D37/1000)*(E37/1000))*G37</f>
        <v/>
      </c>
    </row>
    <row r="38" customFormat="1" s="170">
      <c r="A38" s="158" t="inlineStr">
        <is>
          <t>Tablero</t>
        </is>
      </c>
      <c r="B38" s="158" t="inlineStr">
        <is>
          <t>MDF</t>
        </is>
      </c>
      <c r="C38" s="158" t="inlineStr">
        <is>
          <t>Tablex Blanco 5mm (Zocalo)</t>
        </is>
      </c>
      <c r="D38" s="158" t="n">
        <v>2440</v>
      </c>
      <c r="E38" s="158" t="n">
        <v>1220</v>
      </c>
      <c r="F38" s="158" t="n">
        <v>5</v>
      </c>
      <c r="G38" s="61" t="n"/>
      <c r="H38" s="158" t="inlineStr">
        <is>
          <t>€/m2</t>
        </is>
      </c>
      <c r="I38" s="158" t="inlineStr">
        <is>
          <t>Mausa</t>
        </is>
      </c>
      <c r="J38" s="153" t="n"/>
      <c r="K38" s="158" t="n"/>
      <c r="L38" s="153" t="n"/>
      <c r="M38" s="158" t="n"/>
      <c r="N38" s="153" t="n"/>
      <c r="O38" s="158" t="n"/>
      <c r="P38" s="153">
        <f>((D38/1000)*(E38/1000))*G38</f>
        <v/>
      </c>
    </row>
    <row r="39" customFormat="1" s="170">
      <c r="A39" s="160" t="inlineStr">
        <is>
          <t>Tablero</t>
        </is>
      </c>
      <c r="B39" s="160" t="inlineStr">
        <is>
          <t>MDF</t>
        </is>
      </c>
      <c r="C39" s="160" t="inlineStr">
        <is>
          <t>Tablex Negro  5mm (Zocalo)</t>
        </is>
      </c>
      <c r="D39" s="160" t="n">
        <v>2440</v>
      </c>
      <c r="E39" s="160" t="n">
        <v>1220</v>
      </c>
      <c r="F39" s="160" t="n">
        <v>5</v>
      </c>
      <c r="G39" s="155" t="n">
        <v>7</v>
      </c>
      <c r="H39" s="160" t="inlineStr">
        <is>
          <t>€/m2</t>
        </is>
      </c>
      <c r="I39" s="160" t="inlineStr">
        <is>
          <t>Closa</t>
        </is>
      </c>
      <c r="J39" s="73" t="n">
        <v>0.58</v>
      </c>
      <c r="K39" s="160" t="inlineStr">
        <is>
          <t>Corte (+/- m2)</t>
        </is>
      </c>
      <c r="L39" s="153" t="n"/>
      <c r="M39" s="158" t="n"/>
      <c r="N39" s="153" t="n"/>
      <c r="O39" s="158" t="n"/>
      <c r="P39" s="153">
        <f>((D39/1000)*(E39/1000))*G39</f>
        <v/>
      </c>
    </row>
    <row r="40" customFormat="1" s="170">
      <c r="A40" s="158" t="inlineStr">
        <is>
          <t>Tablero</t>
        </is>
      </c>
      <c r="B40" s="158" t="inlineStr">
        <is>
          <t>MDF</t>
        </is>
      </c>
      <c r="C40" s="158" t="inlineStr">
        <is>
          <t>Tablex Negro 5mm (Zocalo)</t>
        </is>
      </c>
      <c r="D40" s="158" t="n">
        <v>2440</v>
      </c>
      <c r="E40" s="158" t="n">
        <v>1220</v>
      </c>
      <c r="F40" s="158" t="n">
        <v>5</v>
      </c>
      <c r="G40" s="61" t="n"/>
      <c r="H40" s="158" t="inlineStr">
        <is>
          <t>€/m2</t>
        </is>
      </c>
      <c r="I40" s="158" t="inlineStr">
        <is>
          <t>Mausa</t>
        </is>
      </c>
      <c r="J40" s="153" t="n"/>
      <c r="K40" s="158" t="n"/>
      <c r="L40" s="153" t="n"/>
      <c r="M40" s="158" t="n"/>
      <c r="N40" s="153" t="n"/>
      <c r="O40" s="158" t="n"/>
      <c r="P40" s="153">
        <f>((D40/1000)*(E40/1000))*G40</f>
        <v/>
      </c>
    </row>
    <row r="41" customFormat="1" s="170">
      <c r="A41" s="160" t="inlineStr">
        <is>
          <t>Tablero</t>
        </is>
      </c>
      <c r="B41" s="160" t="inlineStr">
        <is>
          <t>MDF</t>
        </is>
      </c>
      <c r="C41" s="160" t="inlineStr">
        <is>
          <t>MDF Standard 3 mm</t>
        </is>
      </c>
      <c r="D41" s="160" t="n">
        <v>2440</v>
      </c>
      <c r="E41" s="160" t="n">
        <v>1220</v>
      </c>
      <c r="F41" s="160" t="n">
        <v>3</v>
      </c>
      <c r="G41" s="73" t="n">
        <v>3</v>
      </c>
      <c r="H41" s="160" t="inlineStr">
        <is>
          <t>€/m2</t>
        </is>
      </c>
      <c r="I41" s="160" t="inlineStr">
        <is>
          <t>Closa</t>
        </is>
      </c>
      <c r="J41" s="73" t="n">
        <v>0.58</v>
      </c>
      <c r="K41" s="160" t="inlineStr">
        <is>
          <t xml:space="preserve"> Corte (+/-m2)</t>
        </is>
      </c>
      <c r="L41" s="74" t="n"/>
      <c r="M41" s="74" t="n"/>
      <c r="N41" s="153" t="n"/>
      <c r="O41" s="158" t="n"/>
      <c r="P41" s="153">
        <f>((D41/1000)*(E41/1000))*G41</f>
        <v/>
      </c>
    </row>
    <row r="42" customFormat="1" s="170">
      <c r="A42" s="160" t="inlineStr">
        <is>
          <t>Tablero</t>
        </is>
      </c>
      <c r="B42" s="160" t="inlineStr">
        <is>
          <t>MDF</t>
        </is>
      </c>
      <c r="C42" s="160" t="inlineStr">
        <is>
          <t>MDF Standard 5 mm</t>
        </is>
      </c>
      <c r="D42" s="160" t="n">
        <v>2440</v>
      </c>
      <c r="E42" s="160" t="n">
        <v>1220</v>
      </c>
      <c r="F42" s="160" t="n">
        <v>5</v>
      </c>
      <c r="G42" s="121" t="n">
        <v>2.4</v>
      </c>
      <c r="H42" s="160" t="inlineStr">
        <is>
          <t>€/m2</t>
        </is>
      </c>
      <c r="I42" s="160" t="inlineStr">
        <is>
          <t>Closa</t>
        </is>
      </c>
      <c r="J42" s="73" t="n">
        <v>0.58</v>
      </c>
      <c r="K42" s="160" t="inlineStr">
        <is>
          <t xml:space="preserve"> Corte (+/-m2)</t>
        </is>
      </c>
      <c r="L42" s="74" t="n"/>
      <c r="M42" s="74" t="n"/>
      <c r="N42" s="153" t="n"/>
      <c r="O42" s="158" t="n"/>
      <c r="P42" s="153">
        <f>((D42/1000)*(E42/1000))*G42</f>
        <v/>
      </c>
    </row>
    <row r="43" customFormat="1" s="170">
      <c r="A43" s="158" t="inlineStr">
        <is>
          <t>Tablero</t>
        </is>
      </c>
      <c r="B43" s="158" t="inlineStr">
        <is>
          <t>MDF</t>
        </is>
      </c>
      <c r="C43" s="158" t="inlineStr">
        <is>
          <t>MDF Standard 5 mm</t>
        </is>
      </c>
      <c r="D43" s="158" t="n">
        <v>2440</v>
      </c>
      <c r="E43" s="158" t="n">
        <v>1220</v>
      </c>
      <c r="F43" s="158" t="n">
        <v>5</v>
      </c>
      <c r="G43" s="153" t="n">
        <v>3.05</v>
      </c>
      <c r="H43" s="158" t="inlineStr">
        <is>
          <t>€/m2</t>
        </is>
      </c>
      <c r="I43" s="158" t="inlineStr">
        <is>
          <t>Gabarro</t>
        </is>
      </c>
      <c r="J43" s="153">
        <f>425.35/235</f>
        <v/>
      </c>
      <c r="K43" s="158" t="inlineStr">
        <is>
          <t>Corte (+/-m2)</t>
        </is>
      </c>
      <c r="L43" s="153">
        <f>428.61/296</f>
        <v/>
      </c>
      <c r="M43" s="158" t="inlineStr">
        <is>
          <t>Cadel (+/-m2)</t>
        </is>
      </c>
      <c r="N43" s="153" t="n"/>
      <c r="O43" s="158" t="n"/>
      <c r="P43" s="153">
        <f>((D43/1000)*(E43/1000))*G43</f>
        <v/>
      </c>
    </row>
    <row r="44" customFormat="1" s="170">
      <c r="A44" s="158" t="inlineStr">
        <is>
          <t>Tablero</t>
        </is>
      </c>
      <c r="B44" s="158" t="inlineStr">
        <is>
          <t>MDF</t>
        </is>
      </c>
      <c r="C44" s="158" t="inlineStr">
        <is>
          <t>MDF Standard 5 mm</t>
        </is>
      </c>
      <c r="D44" s="158" t="n">
        <v>2440</v>
      </c>
      <c r="E44" s="158" t="n">
        <v>1220</v>
      </c>
      <c r="F44" s="158" t="n">
        <v>5</v>
      </c>
      <c r="G44" s="158" t="n">
        <v>3.03</v>
      </c>
      <c r="H44" s="158" t="inlineStr">
        <is>
          <t>€/m2</t>
        </is>
      </c>
      <c r="I44" s="158" t="inlineStr">
        <is>
          <t>Mausa</t>
        </is>
      </c>
      <c r="J44" s="146" t="n"/>
      <c r="K44" s="59" t="n"/>
      <c r="L44" s="146" t="n"/>
      <c r="M44" s="59" t="n"/>
      <c r="N44" s="153" t="n"/>
      <c r="O44" s="158" t="n"/>
      <c r="P44" s="153">
        <f>((D44/1000)*(E44/1000))*G44</f>
        <v/>
      </c>
    </row>
    <row r="45" customFormat="1" s="170">
      <c r="A45" s="158" t="inlineStr">
        <is>
          <t>Tablero</t>
        </is>
      </c>
      <c r="B45" s="158" t="inlineStr">
        <is>
          <t>MDF</t>
        </is>
      </c>
      <c r="C45" s="158" t="inlineStr">
        <is>
          <t>MDF Standard 5 mm</t>
        </is>
      </c>
      <c r="D45" s="158" t="n">
        <v>2440</v>
      </c>
      <c r="E45" s="158" t="n">
        <v>1220</v>
      </c>
      <c r="F45" s="158" t="n">
        <v>5</v>
      </c>
      <c r="G45" s="153" t="n">
        <v>2.58</v>
      </c>
      <c r="H45" s="158" t="inlineStr">
        <is>
          <t>€/m2</t>
        </is>
      </c>
      <c r="I45" s="156" t="inlineStr">
        <is>
          <t xml:space="preserve">Albaertch </t>
        </is>
      </c>
      <c r="J45" s="153" t="n"/>
      <c r="K45" s="158" t="n"/>
      <c r="L45" s="153" t="n"/>
      <c r="M45" s="158" t="n"/>
      <c r="N45" s="156" t="n">
        <v>2.5</v>
      </c>
      <c r="O45" s="156" t="inlineStr">
        <is>
          <t>Paquete</t>
        </is>
      </c>
      <c r="P45" s="153">
        <f>((D45/1000)*(E45/1000))*G45</f>
        <v/>
      </c>
    </row>
    <row r="46" customFormat="1" s="170">
      <c r="A46" s="160" t="inlineStr">
        <is>
          <t>Tablero</t>
        </is>
      </c>
      <c r="B46" s="160" t="inlineStr">
        <is>
          <t>MDF</t>
        </is>
      </c>
      <c r="C46" s="160" t="inlineStr">
        <is>
          <t>MDF Standard 16 mm</t>
        </is>
      </c>
      <c r="D46" s="160" t="n">
        <v>2800</v>
      </c>
      <c r="E46" s="160" t="n">
        <v>2070</v>
      </c>
      <c r="F46" s="160" t="n">
        <v>16</v>
      </c>
      <c r="G46" s="121" t="n">
        <v>6.36</v>
      </c>
      <c r="H46" s="160" t="inlineStr">
        <is>
          <t>€/m2</t>
        </is>
      </c>
      <c r="I46" s="74" t="inlineStr">
        <is>
          <t>Closa</t>
        </is>
      </c>
      <c r="J46" s="73" t="n">
        <v>0.58</v>
      </c>
      <c r="K46" s="160" t="inlineStr">
        <is>
          <t xml:space="preserve"> Corte (+/-m2)</t>
        </is>
      </c>
      <c r="L46" s="159" t="n">
        <v>1.35</v>
      </c>
      <c r="M46" s="74" t="inlineStr">
        <is>
          <t>Cadel (+/-m2)</t>
        </is>
      </c>
      <c r="N46" s="76" t="n"/>
      <c r="O46" s="74" t="n"/>
      <c r="P46" s="153">
        <f>((D46/1000)*(E46/1000))*G46</f>
        <v/>
      </c>
    </row>
    <row r="47" customFormat="1" s="170">
      <c r="A47" s="158" t="inlineStr">
        <is>
          <t>Tablero</t>
        </is>
      </c>
      <c r="B47" s="158" t="inlineStr">
        <is>
          <t>MDF</t>
        </is>
      </c>
      <c r="C47" s="158" t="inlineStr">
        <is>
          <t>MDF Standard 16 mm</t>
        </is>
      </c>
      <c r="D47" s="158" t="n">
        <v>2800</v>
      </c>
      <c r="E47" s="158" t="n">
        <v>2070</v>
      </c>
      <c r="F47" s="158" t="n">
        <v>16</v>
      </c>
      <c r="G47" s="153" t="n">
        <v>5.94</v>
      </c>
      <c r="H47" s="158" t="inlineStr">
        <is>
          <t>€/m2</t>
        </is>
      </c>
      <c r="I47" s="156" t="inlineStr">
        <is>
          <t xml:space="preserve">Albaertch </t>
        </is>
      </c>
      <c r="J47" s="153" t="n"/>
      <c r="K47" s="158" t="n"/>
      <c r="L47" s="153" t="n"/>
      <c r="M47" s="158" t="n"/>
      <c r="N47" s="157" t="n">
        <v>5.74</v>
      </c>
      <c r="O47" s="156" t="inlineStr">
        <is>
          <t>Paquete</t>
        </is>
      </c>
      <c r="P47" s="153">
        <f>((D47/1000)*(E47/1000))*G47</f>
        <v/>
      </c>
    </row>
    <row r="48" customFormat="1" s="170">
      <c r="A48" s="160" t="inlineStr">
        <is>
          <t>Tablero</t>
        </is>
      </c>
      <c r="B48" s="160" t="inlineStr">
        <is>
          <t>MDF</t>
        </is>
      </c>
      <c r="C48" s="160" t="inlineStr">
        <is>
          <t>MDF Standard 16 mm</t>
        </is>
      </c>
      <c r="D48" s="160" t="n">
        <v>3660</v>
      </c>
      <c r="E48" s="160" t="n">
        <v>2070</v>
      </c>
      <c r="F48" s="160" t="n">
        <v>16</v>
      </c>
      <c r="G48" s="121" t="n">
        <v>6.5</v>
      </c>
      <c r="H48" s="160" t="inlineStr">
        <is>
          <t>€/m2</t>
        </is>
      </c>
      <c r="I48" s="160" t="inlineStr">
        <is>
          <t>Gabarro</t>
        </is>
      </c>
      <c r="J48" s="121">
        <f>425.35/235</f>
        <v/>
      </c>
      <c r="K48" s="160" t="inlineStr">
        <is>
          <t>Corte (+/-m2)</t>
        </is>
      </c>
      <c r="L48" s="121">
        <f>428.61/296</f>
        <v/>
      </c>
      <c r="M48" s="160" t="inlineStr">
        <is>
          <t>Cadel (+/-m2)</t>
        </is>
      </c>
      <c r="N48" s="153" t="n"/>
      <c r="O48" s="158" t="n"/>
      <c r="P48" s="153">
        <f>((D48/1000)*(E48/1000))*G48</f>
        <v/>
      </c>
    </row>
    <row r="49" customFormat="1" s="170">
      <c r="A49" s="158" t="inlineStr">
        <is>
          <t>Tablero</t>
        </is>
      </c>
      <c r="B49" s="158" t="inlineStr">
        <is>
          <t>MDF</t>
        </is>
      </c>
      <c r="C49" s="158" t="inlineStr">
        <is>
          <t>MDF Standard 16 mm</t>
        </is>
      </c>
      <c r="D49" s="158" t="n">
        <v>3660</v>
      </c>
      <c r="E49" s="158" t="n">
        <v>2070</v>
      </c>
      <c r="F49" s="158" t="n">
        <v>16</v>
      </c>
      <c r="G49" s="153" t="n">
        <v>5.94</v>
      </c>
      <c r="H49" s="158" t="inlineStr">
        <is>
          <t>€/m2</t>
        </is>
      </c>
      <c r="I49" s="158" t="inlineStr">
        <is>
          <t xml:space="preserve">Albaertch </t>
        </is>
      </c>
      <c r="J49" s="146" t="n"/>
      <c r="K49" s="59" t="n"/>
      <c r="L49" s="146" t="n"/>
      <c r="M49" s="59" t="n"/>
      <c r="N49" s="157" t="n">
        <v>5.74</v>
      </c>
      <c r="O49" s="156" t="inlineStr">
        <is>
          <t>Paquete</t>
        </is>
      </c>
      <c r="P49" s="153">
        <f>((D49/1000)*(E49/1000))*G49</f>
        <v/>
      </c>
    </row>
    <row r="50" customFormat="1" s="170">
      <c r="A50" s="158" t="inlineStr">
        <is>
          <t>Tablero</t>
        </is>
      </c>
      <c r="B50" s="158" t="inlineStr">
        <is>
          <t>MDF</t>
        </is>
      </c>
      <c r="C50" s="158" t="inlineStr">
        <is>
          <t>MDF Standard 16 mm</t>
        </is>
      </c>
      <c r="D50" s="158" t="n">
        <v>3660</v>
      </c>
      <c r="E50" s="158" t="n">
        <v>2070</v>
      </c>
      <c r="F50" s="158" t="n">
        <v>16</v>
      </c>
      <c r="G50" s="158" t="n">
        <v>6.581</v>
      </c>
      <c r="H50" s="158" t="inlineStr">
        <is>
          <t>€/m2</t>
        </is>
      </c>
      <c r="I50" s="158" t="inlineStr">
        <is>
          <t>Mausa</t>
        </is>
      </c>
      <c r="J50" s="146" t="n"/>
      <c r="K50" s="59" t="n"/>
      <c r="L50" s="146" t="n"/>
      <c r="M50" s="59" t="n"/>
      <c r="N50" s="153" t="n"/>
      <c r="O50" s="158" t="n"/>
      <c r="P50" s="153">
        <f>((D50/1000)*(E50/1000))*G50</f>
        <v/>
      </c>
    </row>
    <row r="51" customFormat="1" s="170">
      <c r="A51" s="160" t="inlineStr">
        <is>
          <t>Tablero</t>
        </is>
      </c>
      <c r="B51" s="160" t="inlineStr">
        <is>
          <t>MDF</t>
        </is>
      </c>
      <c r="C51" s="160" t="inlineStr">
        <is>
          <t>MDF Standard 19 mm</t>
        </is>
      </c>
      <c r="D51" s="160" t="n">
        <v>2800</v>
      </c>
      <c r="E51" s="160" t="n">
        <v>2070</v>
      </c>
      <c r="F51" s="160" t="n">
        <v>19</v>
      </c>
      <c r="G51" s="121" t="n">
        <v>7.58</v>
      </c>
      <c r="H51" s="160" t="inlineStr">
        <is>
          <t>€/m2</t>
        </is>
      </c>
      <c r="I51" s="74" t="inlineStr">
        <is>
          <t>Closa</t>
        </is>
      </c>
      <c r="J51" s="73" t="n">
        <v>0.58</v>
      </c>
      <c r="K51" s="160" t="inlineStr">
        <is>
          <t xml:space="preserve"> Corte (+/-m2)</t>
        </is>
      </c>
      <c r="L51" s="159" t="n">
        <v>1.35</v>
      </c>
      <c r="M51" s="74" t="inlineStr">
        <is>
          <t>Cadel (+/-m2)</t>
        </is>
      </c>
      <c r="N51" s="74" t="n"/>
      <c r="O51" s="74" t="n"/>
      <c r="P51" s="153">
        <f>((D51/1000)*(E51/1000))*G51</f>
        <v/>
      </c>
    </row>
    <row r="52" customFormat="1" s="170">
      <c r="A52" s="158" t="inlineStr">
        <is>
          <t>Tablero</t>
        </is>
      </c>
      <c r="B52" s="158" t="inlineStr">
        <is>
          <t>MDF</t>
        </is>
      </c>
      <c r="C52" s="158" t="inlineStr">
        <is>
          <t>MDF Standard 19 mm</t>
        </is>
      </c>
      <c r="D52" s="158" t="n">
        <v>2800</v>
      </c>
      <c r="E52" s="158" t="n">
        <v>2070</v>
      </c>
      <c r="F52" s="158" t="n">
        <v>19</v>
      </c>
      <c r="G52" s="153" t="n">
        <v>7.08</v>
      </c>
      <c r="H52" s="158" t="inlineStr">
        <is>
          <t>€/m2</t>
        </is>
      </c>
      <c r="I52" s="156" t="inlineStr">
        <is>
          <t xml:space="preserve">Albaertch </t>
        </is>
      </c>
      <c r="J52" s="153" t="n"/>
      <c r="K52" s="158" t="n"/>
      <c r="L52" s="153" t="n"/>
      <c r="M52" s="158" t="n"/>
      <c r="N52" s="156" t="n">
        <v>6.84</v>
      </c>
      <c r="O52" s="156" t="inlineStr">
        <is>
          <t>Paquete</t>
        </is>
      </c>
      <c r="P52" s="153">
        <f>((D52/1000)*(E52/1000))*G52</f>
        <v/>
      </c>
    </row>
    <row r="53" customFormat="1" s="170">
      <c r="A53" s="160" t="inlineStr">
        <is>
          <t>Tablero</t>
        </is>
      </c>
      <c r="B53" s="160" t="inlineStr">
        <is>
          <t>MDF</t>
        </is>
      </c>
      <c r="C53" s="160" t="inlineStr">
        <is>
          <t>MDF Standard 19 mm</t>
        </is>
      </c>
      <c r="D53" s="160" t="n">
        <v>3660</v>
      </c>
      <c r="E53" s="160" t="n">
        <v>2070</v>
      </c>
      <c r="F53" s="160" t="n">
        <v>19</v>
      </c>
      <c r="G53" s="121" t="n">
        <v>7.81</v>
      </c>
      <c r="H53" s="160" t="inlineStr">
        <is>
          <t>€/m2</t>
        </is>
      </c>
      <c r="I53" s="160" t="inlineStr">
        <is>
          <t>Gabarro</t>
        </is>
      </c>
      <c r="J53" s="121">
        <f>425.35/235</f>
        <v/>
      </c>
      <c r="K53" s="160" t="inlineStr">
        <is>
          <t>Corte (+/-m2)</t>
        </is>
      </c>
      <c r="L53" s="121">
        <f>428.61/296</f>
        <v/>
      </c>
      <c r="M53" s="160" t="inlineStr">
        <is>
          <t>Cadel (+/-m2)</t>
        </is>
      </c>
      <c r="N53" s="153" t="n"/>
      <c r="O53" s="158" t="n"/>
      <c r="P53" s="153">
        <f>((D53/1000)*(E53/1000))*G53</f>
        <v/>
      </c>
    </row>
    <row r="54" customFormat="1" s="170">
      <c r="A54" s="158" t="inlineStr">
        <is>
          <t>Tablero</t>
        </is>
      </c>
      <c r="B54" s="158" t="inlineStr">
        <is>
          <t>MDF</t>
        </is>
      </c>
      <c r="C54" s="158" t="inlineStr">
        <is>
          <t>MDF Standard 19 mm</t>
        </is>
      </c>
      <c r="D54" s="158" t="n">
        <v>3660</v>
      </c>
      <c r="E54" s="158" t="n">
        <v>2070</v>
      </c>
      <c r="F54" s="158" t="n">
        <v>19</v>
      </c>
      <c r="G54" s="158" t="n">
        <v>8.359999999999999</v>
      </c>
      <c r="H54" s="158" t="inlineStr">
        <is>
          <t>€/m2</t>
        </is>
      </c>
      <c r="I54" s="158" t="inlineStr">
        <is>
          <t>Mausa</t>
        </is>
      </c>
      <c r="J54" s="146" t="n"/>
      <c r="K54" s="59" t="n"/>
      <c r="L54" s="146" t="n"/>
      <c r="M54" s="59" t="n"/>
      <c r="N54" s="153" t="n"/>
      <c r="O54" s="158" t="n"/>
      <c r="P54" s="153">
        <f>((D54/1000)*(E54/1000))*G54</f>
        <v/>
      </c>
    </row>
    <row r="55" customFormat="1" s="170">
      <c r="A55" s="158" t="inlineStr">
        <is>
          <t>Tablero</t>
        </is>
      </c>
      <c r="B55" s="158" t="inlineStr">
        <is>
          <t>MDF</t>
        </is>
      </c>
      <c r="C55" s="158" t="inlineStr">
        <is>
          <t>MDF Standard 19 mm</t>
        </is>
      </c>
      <c r="D55" s="158" t="n">
        <v>3660</v>
      </c>
      <c r="E55" s="158" t="n">
        <v>2070</v>
      </c>
      <c r="F55" s="158" t="n">
        <v>19</v>
      </c>
      <c r="G55" s="153" t="n">
        <v>7.08</v>
      </c>
      <c r="H55" s="158" t="inlineStr">
        <is>
          <t>€/m2</t>
        </is>
      </c>
      <c r="I55" s="156" t="inlineStr">
        <is>
          <t xml:space="preserve">Albaertch </t>
        </is>
      </c>
      <c r="J55" s="153" t="n"/>
      <c r="K55" s="158" t="n"/>
      <c r="L55" s="153" t="n"/>
      <c r="M55" s="158" t="n"/>
      <c r="N55" s="156" t="n">
        <v>6.84</v>
      </c>
      <c r="O55" s="156" t="inlineStr">
        <is>
          <t>Paquete</t>
        </is>
      </c>
      <c r="P55" s="153">
        <f>((D55/1000)*(E55/1000))*G55</f>
        <v/>
      </c>
    </row>
    <row r="56" customFormat="1" s="170">
      <c r="A56" s="45" t="n"/>
      <c r="B56" s="45" t="n"/>
      <c r="C56" s="45" t="n"/>
      <c r="D56" s="45" t="n"/>
      <c r="E56" s="45" t="n"/>
      <c r="F56" s="45" t="n"/>
      <c r="G56" s="46" t="n"/>
      <c r="H56" s="45" t="n"/>
      <c r="I56" s="45" t="n"/>
      <c r="J56" s="58" t="n"/>
      <c r="K56" s="57" t="n"/>
      <c r="L56" s="58" t="n"/>
      <c r="M56" s="57" t="n"/>
      <c r="N56" s="46" t="n"/>
      <c r="O56" s="45" t="n"/>
      <c r="P56" s="45" t="n"/>
    </row>
    <row r="57" customFormat="1" s="170">
      <c r="A57" s="160" t="inlineStr">
        <is>
          <t>Tablero</t>
        </is>
      </c>
      <c r="B57" s="160" t="inlineStr">
        <is>
          <t>Chopo</t>
        </is>
      </c>
      <c r="C57" s="160" t="inlineStr">
        <is>
          <t>BB/BB</t>
        </is>
      </c>
      <c r="D57" s="160" t="n">
        <v>2440</v>
      </c>
      <c r="E57" s="160" t="n">
        <v>1220</v>
      </c>
      <c r="F57" s="160" t="n">
        <v>5</v>
      </c>
      <c r="G57" s="121" t="n">
        <v>5.77</v>
      </c>
      <c r="H57" s="160" t="inlineStr">
        <is>
          <t>€/m2</t>
        </is>
      </c>
      <c r="I57" s="160" t="inlineStr">
        <is>
          <t>Closa</t>
        </is>
      </c>
      <c r="J57" s="121" t="n">
        <v>0.58</v>
      </c>
      <c r="K57" s="160" t="inlineStr">
        <is>
          <t xml:space="preserve"> Corte (+/-m2)</t>
        </is>
      </c>
      <c r="L57" s="121" t="n"/>
      <c r="M57" s="160" t="n"/>
      <c r="N57" s="153" t="n"/>
      <c r="O57" s="158" t="n"/>
      <c r="P57" s="153">
        <f>((D57/1000)*(E57/1000))*G57</f>
        <v/>
      </c>
    </row>
    <row r="58" customFormat="1" s="170">
      <c r="A58" s="158" t="inlineStr">
        <is>
          <t>Tablero</t>
        </is>
      </c>
      <c r="B58" s="158" t="inlineStr">
        <is>
          <t>Chopo</t>
        </is>
      </c>
      <c r="C58" s="158" t="inlineStr">
        <is>
          <t>BB/BB</t>
        </is>
      </c>
      <c r="D58" s="158" t="n">
        <v>2500</v>
      </c>
      <c r="E58" s="158" t="n">
        <v>1220</v>
      </c>
      <c r="F58" s="158" t="n">
        <v>4</v>
      </c>
      <c r="G58" s="153" t="n">
        <v>5.97</v>
      </c>
      <c r="H58" s="158" t="inlineStr">
        <is>
          <t>€/m2</t>
        </is>
      </c>
      <c r="I58" s="158" t="inlineStr">
        <is>
          <t>Gabarro</t>
        </is>
      </c>
      <c r="J58" s="146">
        <f>425.35/235</f>
        <v/>
      </c>
      <c r="K58" s="59" t="inlineStr">
        <is>
          <t>Corte (+/-m2)</t>
        </is>
      </c>
      <c r="L58" s="146">
        <f>428.61/296</f>
        <v/>
      </c>
      <c r="M58" s="59" t="inlineStr">
        <is>
          <t>Cadel (+/-m2)</t>
        </is>
      </c>
      <c r="N58" s="153" t="n"/>
      <c r="O58" s="158" t="n"/>
      <c r="P58" s="153">
        <f>((D58/1000)*(E58/1000))*G58</f>
        <v/>
      </c>
    </row>
    <row r="59" customFormat="1" s="170">
      <c r="A59" s="158" t="inlineStr">
        <is>
          <t>Tablero</t>
        </is>
      </c>
      <c r="B59" s="158" t="inlineStr">
        <is>
          <t>Chopo</t>
        </is>
      </c>
      <c r="C59" s="158" t="inlineStr">
        <is>
          <t>BB/BB</t>
        </is>
      </c>
      <c r="D59" s="158" t="n">
        <v>2500</v>
      </c>
      <c r="E59" s="158" t="n">
        <v>1220</v>
      </c>
      <c r="F59" s="158" t="n">
        <v>4</v>
      </c>
      <c r="G59" s="153" t="n">
        <v>5.4</v>
      </c>
      <c r="H59" s="158" t="inlineStr">
        <is>
          <t>€/m2</t>
        </is>
      </c>
      <c r="I59" s="156" t="inlineStr">
        <is>
          <t xml:space="preserve">Albaertch </t>
        </is>
      </c>
      <c r="J59" s="153" t="n"/>
      <c r="K59" s="158" t="n"/>
      <c r="L59" s="153" t="n"/>
      <c r="M59" s="158" t="n"/>
      <c r="N59" s="156" t="n">
        <v>5.22</v>
      </c>
      <c r="O59" s="156" t="inlineStr">
        <is>
          <t>Paquete</t>
        </is>
      </c>
      <c r="P59" s="153">
        <f>((D59/1000)*(E59/1000))*G59</f>
        <v/>
      </c>
    </row>
    <row r="60" customFormat="1" s="170">
      <c r="A60" s="158" t="inlineStr">
        <is>
          <t>Tablero</t>
        </is>
      </c>
      <c r="B60" s="158" t="inlineStr">
        <is>
          <t>Chopo</t>
        </is>
      </c>
      <c r="C60" s="158" t="inlineStr">
        <is>
          <t>BB/BB</t>
        </is>
      </c>
      <c r="D60" s="158" t="n">
        <v>2500</v>
      </c>
      <c r="E60" s="158" t="n">
        <v>1220</v>
      </c>
      <c r="F60" s="158" t="n">
        <v>5</v>
      </c>
      <c r="G60" s="153" t="n">
        <v>7.64</v>
      </c>
      <c r="H60" s="158" t="inlineStr">
        <is>
          <t>€/m2</t>
        </is>
      </c>
      <c r="I60" s="158" t="inlineStr">
        <is>
          <t>Mausa</t>
        </is>
      </c>
      <c r="J60" s="153" t="n"/>
      <c r="K60" s="158" t="n"/>
      <c r="L60" s="153" t="n"/>
      <c r="M60" s="158" t="n"/>
      <c r="N60" s="153" t="n"/>
      <c r="O60" s="158" t="n"/>
      <c r="P60" s="153">
        <f>((D60/1000)*(E60/1000))*G60</f>
        <v/>
      </c>
    </row>
    <row r="61" customFormat="1" s="170">
      <c r="A61" s="158" t="inlineStr">
        <is>
          <t>Tablero</t>
        </is>
      </c>
      <c r="B61" s="158" t="inlineStr">
        <is>
          <t>Chopo</t>
        </is>
      </c>
      <c r="C61" s="158" t="inlineStr">
        <is>
          <t>BB/BB</t>
        </is>
      </c>
      <c r="D61" s="158" t="n">
        <v>2500</v>
      </c>
      <c r="E61" s="158" t="n">
        <v>1220</v>
      </c>
      <c r="F61" s="158" t="n">
        <v>5</v>
      </c>
      <c r="G61" s="153" t="n">
        <v>6.18</v>
      </c>
      <c r="H61" s="158" t="inlineStr">
        <is>
          <t>€/m2</t>
        </is>
      </c>
      <c r="I61" s="156" t="inlineStr">
        <is>
          <t xml:space="preserve">Albaertch </t>
        </is>
      </c>
      <c r="J61" s="153" t="n"/>
      <c r="K61" s="158" t="n"/>
      <c r="L61" s="153" t="n"/>
      <c r="M61" s="158" t="n"/>
      <c r="N61" s="156" t="n">
        <v>5.98</v>
      </c>
      <c r="O61" s="156" t="inlineStr">
        <is>
          <t>Paquete</t>
        </is>
      </c>
      <c r="P61" s="153">
        <f>((D61/1000)*(E61/1000))*G61</f>
        <v/>
      </c>
    </row>
    <row r="62" customFormat="1" s="170">
      <c r="A62" s="160" t="inlineStr">
        <is>
          <t>Tablero</t>
        </is>
      </c>
      <c r="B62" s="160" t="inlineStr">
        <is>
          <t>Chopo Felx.</t>
        </is>
      </c>
      <c r="C62" s="160" t="inlineStr">
        <is>
          <t>Tablero Fromager flexible 5 mm  (mostrador)</t>
        </is>
      </c>
      <c r="D62" s="160" t="n">
        <v>1220</v>
      </c>
      <c r="E62" s="160" t="n">
        <v>2500</v>
      </c>
      <c r="F62" s="160" t="n">
        <v>5</v>
      </c>
      <c r="G62" s="121" t="n">
        <v>8.18</v>
      </c>
      <c r="H62" s="160" t="inlineStr">
        <is>
          <t>€/m2</t>
        </is>
      </c>
      <c r="I62" s="160" t="inlineStr">
        <is>
          <t>Closa</t>
        </is>
      </c>
      <c r="J62" s="146" t="n"/>
      <c r="K62" s="59" t="n"/>
      <c r="L62" s="146" t="n"/>
      <c r="M62" s="59" t="n"/>
      <c r="N62" s="153" t="n"/>
      <c r="O62" s="158" t="n"/>
      <c r="P62" s="153">
        <f>((D62/1000)*(E62/1000))*G62</f>
        <v/>
      </c>
    </row>
    <row r="63" customFormat="1" s="170">
      <c r="A63" s="158" t="inlineStr">
        <is>
          <t>Tablero</t>
        </is>
      </c>
      <c r="B63" s="158" t="inlineStr">
        <is>
          <t>Chopo Felx.</t>
        </is>
      </c>
      <c r="C63" s="158" t="inlineStr">
        <is>
          <t>Tablero Fromager flexible 5 mm  (mostrador)</t>
        </is>
      </c>
      <c r="D63" s="158" t="n">
        <v>1220</v>
      </c>
      <c r="E63" s="158" t="n">
        <v>2500</v>
      </c>
      <c r="F63" s="158" t="n">
        <v>5</v>
      </c>
      <c r="G63" s="72" t="n"/>
      <c r="H63" s="158" t="inlineStr">
        <is>
          <t>€/m2</t>
        </is>
      </c>
      <c r="I63" s="158" t="inlineStr">
        <is>
          <t>Gabarro</t>
        </is>
      </c>
      <c r="J63" s="146" t="n"/>
      <c r="K63" s="59" t="n"/>
      <c r="L63" s="146" t="n"/>
      <c r="M63" s="59" t="n"/>
      <c r="N63" s="153" t="n"/>
      <c r="O63" s="158" t="n"/>
      <c r="P63" s="153">
        <f>((D63/1000)*(E63/1000))*G63</f>
        <v/>
      </c>
    </row>
    <row r="64" customFormat="1" s="170">
      <c r="A64" s="158" t="inlineStr">
        <is>
          <t>Tablero</t>
        </is>
      </c>
      <c r="B64" s="158" t="inlineStr">
        <is>
          <t>Chopo Felx.</t>
        </is>
      </c>
      <c r="C64" s="158" t="inlineStr">
        <is>
          <t>Tablero Fromager flexible 5 mm  (mostrador)</t>
        </is>
      </c>
      <c r="D64" s="158" t="n">
        <v>1220</v>
      </c>
      <c r="E64" s="158" t="n">
        <v>2500</v>
      </c>
      <c r="F64" s="158" t="n">
        <v>5</v>
      </c>
      <c r="G64" s="153" t="n">
        <v>9.6</v>
      </c>
      <c r="H64" s="158" t="inlineStr">
        <is>
          <t>€/m2</t>
        </is>
      </c>
      <c r="I64" s="156" t="inlineStr">
        <is>
          <t xml:space="preserve">Albaertch </t>
        </is>
      </c>
      <c r="J64" s="153" t="n"/>
      <c r="K64" s="158" t="n"/>
      <c r="L64" s="153" t="n"/>
      <c r="M64" s="158" t="n"/>
      <c r="N64" s="156" t="n">
        <v>9.6</v>
      </c>
      <c r="O64" s="156" t="inlineStr">
        <is>
          <t>Paquete</t>
        </is>
      </c>
      <c r="P64" s="153">
        <f>((D64/1000)*(E64/1000))*G64</f>
        <v/>
      </c>
    </row>
    <row r="65" customFormat="1" s="170">
      <c r="A65" s="158" t="inlineStr">
        <is>
          <t>Tablero</t>
        </is>
      </c>
      <c r="B65" s="158" t="inlineStr">
        <is>
          <t>Chopo Felx.</t>
        </is>
      </c>
      <c r="C65" s="158" t="inlineStr">
        <is>
          <t>Tablero Fromager flexible 5 mm  (mostrador)</t>
        </is>
      </c>
      <c r="D65" s="158" t="n">
        <v>1220</v>
      </c>
      <c r="E65" s="158" t="n">
        <v>2500</v>
      </c>
      <c r="F65" s="158" t="n">
        <v>5</v>
      </c>
      <c r="G65" s="49" t="n"/>
      <c r="H65" s="158" t="inlineStr">
        <is>
          <t>€/m2</t>
        </is>
      </c>
      <c r="I65" s="156" t="inlineStr">
        <is>
          <t>Mausa</t>
        </is>
      </c>
      <c r="J65" s="153" t="n"/>
      <c r="K65" s="158" t="n"/>
      <c r="L65" s="153" t="n"/>
      <c r="M65" s="158" t="n"/>
      <c r="N65" s="156" t="n"/>
      <c r="O65" s="156" t="n"/>
      <c r="P65" s="153" t="n"/>
    </row>
    <row r="66" customFormat="1" s="170">
      <c r="A66" s="160" t="inlineStr">
        <is>
          <t>Tablero</t>
        </is>
      </c>
      <c r="B66" s="160" t="inlineStr">
        <is>
          <t>Chopo Felx.</t>
        </is>
      </c>
      <c r="C66" s="160" t="inlineStr">
        <is>
          <t>Tablero Fromager flexible 5 mm  (Columna)</t>
        </is>
      </c>
      <c r="D66" s="160" t="n">
        <v>1220</v>
      </c>
      <c r="E66" s="160" t="n">
        <v>2500</v>
      </c>
      <c r="F66" s="160" t="n">
        <v>5</v>
      </c>
      <c r="G66" s="121" t="n">
        <v>8.18</v>
      </c>
      <c r="H66" s="160" t="inlineStr">
        <is>
          <t>€/m2</t>
        </is>
      </c>
      <c r="I66" s="160" t="inlineStr">
        <is>
          <t>Closa</t>
        </is>
      </c>
      <c r="J66" s="146" t="n"/>
      <c r="K66" s="59" t="n"/>
      <c r="L66" s="146" t="n"/>
      <c r="M66" s="59" t="n"/>
      <c r="N66" s="153" t="n"/>
      <c r="O66" s="158" t="n"/>
      <c r="P66" s="153">
        <f>((D66/1000)*(E66/1000))*G66</f>
        <v/>
      </c>
    </row>
    <row r="67" customFormat="1" s="170">
      <c r="A67" s="158" t="inlineStr">
        <is>
          <t>Tablero</t>
        </is>
      </c>
      <c r="B67" s="158" t="inlineStr">
        <is>
          <t>Chopo Felx.</t>
        </is>
      </c>
      <c r="C67" s="158" t="inlineStr">
        <is>
          <t>Tablero Fromager flexible 5 mm  (Columna)</t>
        </is>
      </c>
      <c r="D67" s="158" t="n">
        <v>1220</v>
      </c>
      <c r="E67" s="158" t="n">
        <v>2500</v>
      </c>
      <c r="F67" s="158" t="n">
        <v>5</v>
      </c>
      <c r="G67" s="72" t="n"/>
      <c r="H67" s="158" t="inlineStr">
        <is>
          <t>€/m2</t>
        </is>
      </c>
      <c r="I67" s="158" t="inlineStr">
        <is>
          <t>Gabarro</t>
        </is>
      </c>
      <c r="J67" s="146" t="n"/>
      <c r="K67" s="59" t="n"/>
      <c r="L67" s="146" t="n"/>
      <c r="M67" s="59" t="n"/>
      <c r="N67" s="153" t="n"/>
      <c r="O67" s="158" t="n"/>
      <c r="P67" s="153">
        <f>((D67/1000)*(E67/1000))*G67</f>
        <v/>
      </c>
    </row>
    <row r="68" customFormat="1" s="170">
      <c r="A68" s="158" t="inlineStr">
        <is>
          <t>Tablero</t>
        </is>
      </c>
      <c r="B68" s="158" t="inlineStr">
        <is>
          <t>Chopo Felx.</t>
        </is>
      </c>
      <c r="C68" s="158" t="inlineStr">
        <is>
          <t>Tablero Fromager flexible 5 mm  (Columna)</t>
        </is>
      </c>
      <c r="D68" s="158" t="n">
        <v>1220</v>
      </c>
      <c r="E68" s="158" t="n">
        <v>2500</v>
      </c>
      <c r="F68" s="158" t="n">
        <v>5</v>
      </c>
      <c r="G68" s="72" t="n"/>
      <c r="H68" s="158" t="inlineStr">
        <is>
          <t>€/m2</t>
        </is>
      </c>
      <c r="I68" s="158" t="inlineStr">
        <is>
          <t>Mausa</t>
        </is>
      </c>
      <c r="J68" s="146" t="n"/>
      <c r="K68" s="59" t="n"/>
      <c r="L68" s="146" t="n"/>
      <c r="M68" s="59" t="n"/>
      <c r="N68" s="153" t="n"/>
      <c r="O68" s="158" t="n"/>
      <c r="P68" s="153" t="n"/>
    </row>
    <row r="69" customFormat="1" s="170">
      <c r="A69" s="160" t="inlineStr">
        <is>
          <t>Tablero</t>
        </is>
      </c>
      <c r="B69" s="160" t="inlineStr">
        <is>
          <t>Chopo</t>
        </is>
      </c>
      <c r="C69" s="160" t="inlineStr">
        <is>
          <t>BB/BB</t>
        </is>
      </c>
      <c r="D69" s="160" t="n">
        <v>2440</v>
      </c>
      <c r="E69" s="160" t="n">
        <v>1220</v>
      </c>
      <c r="F69" s="160" t="n">
        <v>10</v>
      </c>
      <c r="G69" s="121" t="n">
        <v>9.460000000000001</v>
      </c>
      <c r="H69" s="160" t="inlineStr">
        <is>
          <t>€/m2</t>
        </is>
      </c>
      <c r="I69" s="160" t="inlineStr">
        <is>
          <t>Closa</t>
        </is>
      </c>
      <c r="J69" s="121" t="n">
        <v>0.58</v>
      </c>
      <c r="K69" s="160" t="inlineStr">
        <is>
          <t xml:space="preserve"> Corte (+/-m2)</t>
        </is>
      </c>
      <c r="L69" s="121" t="n"/>
      <c r="M69" s="160" t="n"/>
      <c r="N69" s="153" t="n"/>
      <c r="O69" s="158" t="n"/>
      <c r="P69" s="153">
        <f>((D69/1000)*(E69/1000))*G69</f>
        <v/>
      </c>
    </row>
    <row r="70" customFormat="1" s="170">
      <c r="A70" s="160" t="inlineStr">
        <is>
          <t>Tablero</t>
        </is>
      </c>
      <c r="B70" s="160" t="inlineStr">
        <is>
          <t>Chopo</t>
        </is>
      </c>
      <c r="C70" s="160" t="inlineStr">
        <is>
          <t>BB/BB</t>
        </is>
      </c>
      <c r="D70" s="160" t="n">
        <v>2440</v>
      </c>
      <c r="E70" s="160" t="n">
        <v>1220</v>
      </c>
      <c r="F70" s="160" t="n">
        <v>15</v>
      </c>
      <c r="G70" s="121" t="n">
        <v>13.25</v>
      </c>
      <c r="H70" s="160" t="inlineStr">
        <is>
          <t>€/m2</t>
        </is>
      </c>
      <c r="I70" s="160" t="inlineStr">
        <is>
          <t>Closa</t>
        </is>
      </c>
      <c r="J70" s="121" t="n">
        <v>0.58</v>
      </c>
      <c r="K70" s="160" t="inlineStr">
        <is>
          <t xml:space="preserve"> Corte (+/-m2)</t>
        </is>
      </c>
      <c r="L70" s="121" t="n"/>
      <c r="M70" s="160" t="n"/>
      <c r="N70" s="153" t="n"/>
      <c r="O70" s="158" t="n"/>
      <c r="P70" s="153">
        <f>((D70/1000)*(E70/1000))*G70</f>
        <v/>
      </c>
    </row>
    <row r="71" customFormat="1" s="170">
      <c r="A71" s="158" t="inlineStr">
        <is>
          <t>Tablero</t>
        </is>
      </c>
      <c r="B71" s="158" t="inlineStr">
        <is>
          <t>Chopo</t>
        </is>
      </c>
      <c r="C71" s="158" t="inlineStr">
        <is>
          <t>BB/BB</t>
        </is>
      </c>
      <c r="D71" s="158" t="n">
        <v>2500</v>
      </c>
      <c r="E71" s="158" t="n">
        <v>1220</v>
      </c>
      <c r="F71" s="158" t="n">
        <v>15</v>
      </c>
      <c r="G71" s="153" t="n">
        <v>14.27</v>
      </c>
      <c r="H71" s="158" t="inlineStr">
        <is>
          <t>€/m2</t>
        </is>
      </c>
      <c r="I71" s="158" t="inlineStr">
        <is>
          <t>Gabarro</t>
        </is>
      </c>
      <c r="J71" s="153">
        <f>425.35/235</f>
        <v/>
      </c>
      <c r="K71" s="158" t="inlineStr">
        <is>
          <t>Corte (+/-m2)</t>
        </is>
      </c>
      <c r="L71" s="153" t="n"/>
      <c r="M71" s="158" t="n"/>
      <c r="N71" s="153" t="n"/>
      <c r="O71" s="158" t="n"/>
      <c r="P71" s="153">
        <f>((D71/1000)*(E71/1000))*G71</f>
        <v/>
      </c>
    </row>
    <row r="72" customFormat="1" s="170">
      <c r="A72" s="158" t="inlineStr">
        <is>
          <t>Tablero</t>
        </is>
      </c>
      <c r="B72" s="158" t="inlineStr">
        <is>
          <t>Chopo</t>
        </is>
      </c>
      <c r="C72" s="158" t="inlineStr">
        <is>
          <t>BB/BB</t>
        </is>
      </c>
      <c r="D72" s="158" t="n">
        <v>2500</v>
      </c>
      <c r="E72" s="158" t="n">
        <v>1220</v>
      </c>
      <c r="F72" s="158" t="n">
        <v>15</v>
      </c>
      <c r="G72" s="153" t="n">
        <v>13.5</v>
      </c>
      <c r="H72" s="158" t="inlineStr">
        <is>
          <t>€/m2</t>
        </is>
      </c>
      <c r="I72" s="156" t="inlineStr">
        <is>
          <t xml:space="preserve">Albaertch </t>
        </is>
      </c>
      <c r="J72" s="153" t="n"/>
      <c r="K72" s="158" t="n"/>
      <c r="L72" s="153" t="n"/>
      <c r="M72" s="158" t="n"/>
      <c r="N72" s="156" t="n">
        <v>13.05</v>
      </c>
      <c r="O72" s="156" t="inlineStr">
        <is>
          <t>Paquete</t>
        </is>
      </c>
      <c r="P72" s="153">
        <f>((D72/1000)*(E72/1000))*G72</f>
        <v/>
      </c>
    </row>
    <row r="73" customFormat="1" s="170">
      <c r="A73" s="158" t="inlineStr">
        <is>
          <t>Tablero</t>
        </is>
      </c>
      <c r="B73" s="158" t="inlineStr">
        <is>
          <t>Chopo</t>
        </is>
      </c>
      <c r="C73" s="158" t="inlineStr">
        <is>
          <t>BB/BB</t>
        </is>
      </c>
      <c r="D73" s="158" t="n">
        <v>2500</v>
      </c>
      <c r="E73" s="158" t="n">
        <v>1220</v>
      </c>
      <c r="F73" s="158" t="n">
        <v>15</v>
      </c>
      <c r="G73" s="158" t="n">
        <v>20.3</v>
      </c>
      <c r="H73" s="158" t="inlineStr">
        <is>
          <t>€/m2</t>
        </is>
      </c>
      <c r="I73" s="158" t="inlineStr">
        <is>
          <t>Mausa</t>
        </is>
      </c>
      <c r="J73" s="146" t="n"/>
      <c r="K73" s="59" t="n"/>
      <c r="L73" s="146" t="n"/>
      <c r="M73" s="59" t="n"/>
      <c r="N73" s="153" t="n"/>
      <c r="O73" s="158" t="n"/>
      <c r="P73" s="153">
        <f>((D73/1000)*(E73/1000))*G73</f>
        <v/>
      </c>
    </row>
    <row r="74" customFormat="1" s="170">
      <c r="A74" s="45" t="n"/>
      <c r="B74" s="45" t="n"/>
      <c r="C74" s="45" t="n"/>
      <c r="D74" s="45" t="n"/>
      <c r="E74" s="45" t="n"/>
      <c r="F74" s="45" t="n"/>
      <c r="G74" s="45" t="n"/>
      <c r="H74" s="45" t="n"/>
      <c r="I74" s="45" t="n"/>
      <c r="J74" s="58" t="n"/>
      <c r="K74" s="57" t="n"/>
      <c r="L74" s="58" t="n"/>
      <c r="M74" s="57" t="n"/>
      <c r="N74" s="46" t="n"/>
      <c r="O74" s="45" t="n"/>
      <c r="P74" s="45" t="n"/>
    </row>
    <row r="75" customFormat="1" s="170">
      <c r="A75" s="160" t="inlineStr">
        <is>
          <t>Tablero</t>
        </is>
      </c>
      <c r="B75" s="160" t="inlineStr">
        <is>
          <t>OSB</t>
        </is>
      </c>
      <c r="C75" s="160" t="inlineStr">
        <is>
          <t xml:space="preserve">Tablero OSB 3 XOP </t>
        </is>
      </c>
      <c r="D75" s="160" t="n">
        <v>2500</v>
      </c>
      <c r="E75" s="160" t="n">
        <v>1250</v>
      </c>
      <c r="F75" s="160" t="n">
        <v>9</v>
      </c>
      <c r="G75" s="160" t="n">
        <v>4.16</v>
      </c>
      <c r="H75" s="160" t="inlineStr">
        <is>
          <t>€/m2</t>
        </is>
      </c>
      <c r="I75" s="160" t="inlineStr">
        <is>
          <t>Closa</t>
        </is>
      </c>
      <c r="J75" s="146" t="n"/>
      <c r="K75" s="59" t="n"/>
      <c r="L75" s="146" t="n"/>
      <c r="M75" s="59" t="n"/>
      <c r="N75" s="153" t="n">
        <v>3.91</v>
      </c>
      <c r="O75" s="158" t="inlineStr">
        <is>
          <t>Paquete</t>
        </is>
      </c>
      <c r="P75" s="153" t="n"/>
    </row>
    <row r="76" customFormat="1" s="170">
      <c r="A76" s="160" t="inlineStr">
        <is>
          <t>Tablero</t>
        </is>
      </c>
      <c r="B76" s="160" t="inlineStr">
        <is>
          <t>OSB</t>
        </is>
      </c>
      <c r="C76" s="160" t="inlineStr">
        <is>
          <t xml:space="preserve">Tablero OSB 3 XOP </t>
        </is>
      </c>
      <c r="D76" s="160" t="n">
        <v>2500</v>
      </c>
      <c r="E76" s="160" t="n">
        <v>1250</v>
      </c>
      <c r="F76" s="160" t="n">
        <v>15</v>
      </c>
      <c r="G76" s="160" t="n">
        <v>6.18</v>
      </c>
      <c r="H76" s="160" t="inlineStr">
        <is>
          <t>€/m2</t>
        </is>
      </c>
      <c r="I76" s="160" t="inlineStr">
        <is>
          <t>Closa</t>
        </is>
      </c>
      <c r="J76" s="146" t="n"/>
      <c r="K76" s="59" t="n"/>
      <c r="L76" s="146" t="n"/>
      <c r="M76" s="59" t="n"/>
      <c r="N76" s="153" t="n">
        <v>5.82</v>
      </c>
      <c r="O76" s="158" t="inlineStr">
        <is>
          <t>Paquete</t>
        </is>
      </c>
      <c r="P76" s="153" t="n"/>
    </row>
    <row r="77" customFormat="1" s="170">
      <c r="A77" s="160" t="inlineStr">
        <is>
          <t>Tablero</t>
        </is>
      </c>
      <c r="B77" s="160" t="inlineStr">
        <is>
          <t>OSB</t>
        </is>
      </c>
      <c r="C77" s="160" t="inlineStr">
        <is>
          <t xml:space="preserve">Tablero OSB 3 XOP </t>
        </is>
      </c>
      <c r="D77" s="160" t="n">
        <v>2500</v>
      </c>
      <c r="E77" s="160" t="n">
        <v>1250</v>
      </c>
      <c r="F77" s="160" t="n">
        <v>18</v>
      </c>
      <c r="G77" s="160" t="n">
        <v>7.88</v>
      </c>
      <c r="H77" s="160" t="inlineStr">
        <is>
          <t>€/m2</t>
        </is>
      </c>
      <c r="I77" s="160" t="inlineStr">
        <is>
          <t>Closa</t>
        </is>
      </c>
      <c r="J77" s="146" t="n"/>
      <c r="K77" s="59" t="n"/>
      <c r="L77" s="146" t="n"/>
      <c r="M77" s="59" t="n"/>
      <c r="N77" s="153" t="n">
        <v>7.41</v>
      </c>
      <c r="O77" s="158" t="inlineStr">
        <is>
          <t>Paquete</t>
        </is>
      </c>
      <c r="P77" s="153" t="n"/>
    </row>
    <row r="78" customFormat="1" s="170">
      <c r="A78" s="160" t="inlineStr">
        <is>
          <t>Tablero</t>
        </is>
      </c>
      <c r="B78" s="160" t="inlineStr">
        <is>
          <t>OSB</t>
        </is>
      </c>
      <c r="C78" s="160" t="inlineStr">
        <is>
          <t xml:space="preserve">Tablero OSB 3 XOP </t>
        </is>
      </c>
      <c r="D78" s="160" t="n">
        <v>2500</v>
      </c>
      <c r="E78" s="160" t="n">
        <v>1250</v>
      </c>
      <c r="F78" s="160" t="n">
        <v>22</v>
      </c>
      <c r="G78" s="160" t="n">
        <v>9.859999999999999</v>
      </c>
      <c r="H78" s="160" t="inlineStr">
        <is>
          <t>€/m2</t>
        </is>
      </c>
      <c r="I78" s="160" t="inlineStr">
        <is>
          <t>Closa</t>
        </is>
      </c>
      <c r="J78" s="146" t="n"/>
      <c r="K78" s="59" t="n"/>
      <c r="L78" s="146" t="n"/>
      <c r="M78" s="59" t="n"/>
      <c r="N78" s="153" t="n">
        <v>9.27</v>
      </c>
      <c r="O78" s="158" t="inlineStr">
        <is>
          <t>Paquete</t>
        </is>
      </c>
      <c r="P78" s="153" t="n"/>
    </row>
    <row r="79" customFormat="1" s="170">
      <c r="A79" s="45" t="n"/>
      <c r="B79" s="45" t="n"/>
      <c r="C79" s="45" t="n"/>
      <c r="D79" s="45" t="n"/>
      <c r="E79" s="45" t="n"/>
      <c r="F79" s="45" t="n"/>
      <c r="G79" s="45" t="n"/>
      <c r="H79" s="45" t="n"/>
      <c r="I79" s="45" t="n"/>
      <c r="J79" s="58" t="n"/>
      <c r="K79" s="57" t="n"/>
      <c r="L79" s="58" t="n"/>
      <c r="M79" s="57" t="n"/>
      <c r="N79" s="46" t="n"/>
      <c r="O79" s="45" t="n"/>
      <c r="P79" s="45" t="n"/>
    </row>
    <row r="80" customFormat="1" s="170">
      <c r="A80" s="160" t="inlineStr">
        <is>
          <t>Liston</t>
        </is>
      </c>
      <c r="B80" s="160" t="inlineStr">
        <is>
          <t>Pino</t>
        </is>
      </c>
      <c r="C80" s="160" t="inlineStr">
        <is>
          <t>Liston Flandes  45*21</t>
        </is>
      </c>
      <c r="D80" s="160" t="n">
        <v>4500</v>
      </c>
      <c r="E80" s="160" t="n">
        <v>45</v>
      </c>
      <c r="F80" s="160" t="n">
        <v>21</v>
      </c>
      <c r="G80" s="121" t="n">
        <v>0.66</v>
      </c>
      <c r="H80" s="160" t="inlineStr">
        <is>
          <t>€/ml</t>
        </is>
      </c>
      <c r="I80" s="160" t="inlineStr">
        <is>
          <t>Forestal Vic</t>
        </is>
      </c>
      <c r="J80" s="52" t="n"/>
      <c r="K80" s="51" t="n"/>
      <c r="L80" s="52" t="n"/>
      <c r="M80" s="51" t="n"/>
      <c r="N80" s="153" t="n"/>
      <c r="O80" s="158" t="n"/>
      <c r="P80" s="153" t="n"/>
    </row>
    <row r="81" customFormat="1" s="170">
      <c r="A81" s="158" t="inlineStr">
        <is>
          <t>Liston</t>
        </is>
      </c>
      <c r="B81" s="158" t="inlineStr">
        <is>
          <t>Pino</t>
        </is>
      </c>
      <c r="C81" s="158" t="inlineStr">
        <is>
          <t>Liston Flandes  45*21</t>
        </is>
      </c>
      <c r="D81" s="158" t="n">
        <v>4500</v>
      </c>
      <c r="E81" s="158" t="n">
        <v>45</v>
      </c>
      <c r="F81" s="158" t="n">
        <v>21</v>
      </c>
      <c r="G81" s="153" t="n">
        <v>0.73</v>
      </c>
      <c r="H81" s="158" t="inlineStr">
        <is>
          <t>€/ml</t>
        </is>
      </c>
      <c r="I81" s="156" t="inlineStr">
        <is>
          <t xml:space="preserve">Albaertch </t>
        </is>
      </c>
      <c r="J81" s="52" t="n"/>
      <c r="K81" s="51" t="n"/>
      <c r="L81" s="52" t="n"/>
      <c r="M81" s="51" t="n"/>
      <c r="N81" s="153" t="n"/>
      <c r="O81" s="158" t="n"/>
      <c r="P81" s="153" t="n"/>
    </row>
    <row r="82" customFormat="1" s="170">
      <c r="A82" s="158" t="inlineStr">
        <is>
          <t>Liston</t>
        </is>
      </c>
      <c r="B82" s="158" t="inlineStr">
        <is>
          <t>Pino</t>
        </is>
      </c>
      <c r="C82" s="158" t="inlineStr">
        <is>
          <t>Liston Flandes  45*21</t>
        </is>
      </c>
      <c r="D82" s="158" t="n">
        <v>4500</v>
      </c>
      <c r="E82" s="158" t="n">
        <v>45</v>
      </c>
      <c r="F82" s="158" t="n">
        <v>21</v>
      </c>
      <c r="G82" s="153" t="n">
        <v>0.9</v>
      </c>
      <c r="H82" s="158" t="inlineStr">
        <is>
          <t>€/ml</t>
        </is>
      </c>
      <c r="I82" s="158" t="inlineStr">
        <is>
          <t>Mausa</t>
        </is>
      </c>
      <c r="J82" s="52" t="n"/>
      <c r="K82" s="51" t="n"/>
      <c r="L82" s="52" t="n"/>
      <c r="M82" s="51" t="n"/>
      <c r="N82" s="153" t="n"/>
      <c r="O82" s="158" t="n"/>
      <c r="P82" s="153" t="n"/>
    </row>
    <row r="83" customFormat="1" s="170">
      <c r="A83" s="158" t="inlineStr">
        <is>
          <t>Liston</t>
        </is>
      </c>
      <c r="B83" s="158" t="inlineStr">
        <is>
          <t>Pino</t>
        </is>
      </c>
      <c r="C83" s="158" t="inlineStr">
        <is>
          <t>Liston Flandes  45*20</t>
        </is>
      </c>
      <c r="D83" s="158" t="n">
        <v>4500</v>
      </c>
      <c r="E83" s="158" t="n">
        <v>45</v>
      </c>
      <c r="F83" s="158" t="n">
        <v>20</v>
      </c>
      <c r="G83" s="153" t="n">
        <v>1.02</v>
      </c>
      <c r="H83" s="158" t="inlineStr">
        <is>
          <t>€/ml</t>
        </is>
      </c>
      <c r="I83" s="158" t="inlineStr">
        <is>
          <t>Closa</t>
        </is>
      </c>
      <c r="J83" s="52" t="n"/>
      <c r="K83" s="51" t="n"/>
      <c r="L83" s="52" t="n"/>
      <c r="M83" s="51" t="n"/>
      <c r="N83" s="153" t="n">
        <v>0.97</v>
      </c>
      <c r="O83" s="158" t="inlineStr">
        <is>
          <t>Paquete</t>
        </is>
      </c>
      <c r="P83" s="153" t="n"/>
    </row>
    <row r="84" customFormat="1" s="170">
      <c r="A84" s="160" t="inlineStr">
        <is>
          <t>Liston</t>
        </is>
      </c>
      <c r="B84" s="160" t="inlineStr">
        <is>
          <t>Pino</t>
        </is>
      </c>
      <c r="C84" s="160" t="inlineStr">
        <is>
          <t>Liston Flandes  45*45</t>
        </is>
      </c>
      <c r="D84" s="160" t="n">
        <v>4500</v>
      </c>
      <c r="E84" s="160" t="n">
        <v>45</v>
      </c>
      <c r="F84" s="160" t="n">
        <v>45</v>
      </c>
      <c r="G84" s="121" t="n">
        <v>1.33</v>
      </c>
      <c r="H84" s="160" t="inlineStr">
        <is>
          <t>€/ml</t>
        </is>
      </c>
      <c r="I84" s="160" t="inlineStr">
        <is>
          <t>Forestal Vic</t>
        </is>
      </c>
      <c r="J84" s="52" t="n"/>
      <c r="K84" s="51" t="n"/>
      <c r="L84" s="52" t="n"/>
      <c r="M84" s="51" t="n"/>
      <c r="N84" s="153" t="n"/>
      <c r="O84" s="158" t="n"/>
      <c r="P84" s="153" t="n"/>
    </row>
    <row r="85" customFormat="1" s="170">
      <c r="A85" s="158" t="inlineStr">
        <is>
          <t>Liston</t>
        </is>
      </c>
      <c r="B85" s="158" t="inlineStr">
        <is>
          <t>Pino</t>
        </is>
      </c>
      <c r="C85" s="158" t="inlineStr">
        <is>
          <t>Liston Flandes  45*45  (SON DE 12MTS, LES PODEM VENDRE A 3000,4000,5000,6000,70000)</t>
        </is>
      </c>
      <c r="D85" s="158" t="n">
        <v>4500</v>
      </c>
      <c r="E85" s="158" t="n">
        <v>45</v>
      </c>
      <c r="F85" s="158" t="n">
        <v>45</v>
      </c>
      <c r="G85" s="153" t="n">
        <v>1.1</v>
      </c>
      <c r="H85" s="158" t="inlineStr">
        <is>
          <t>€/ml</t>
        </is>
      </c>
      <c r="I85" s="156" t="inlineStr">
        <is>
          <t xml:space="preserve">Albaertch </t>
        </is>
      </c>
      <c r="J85" s="52" t="n"/>
      <c r="K85" s="51" t="n"/>
      <c r="L85" s="52" t="n"/>
      <c r="M85" s="51" t="n"/>
      <c r="N85" s="153" t="n"/>
      <c r="O85" s="158" t="n"/>
      <c r="P85" s="153" t="n"/>
    </row>
    <row r="86" customFormat="1" s="170">
      <c r="A86" s="158" t="inlineStr">
        <is>
          <t>Liston</t>
        </is>
      </c>
      <c r="B86" s="158" t="inlineStr">
        <is>
          <t>Pino</t>
        </is>
      </c>
      <c r="C86" s="158" t="inlineStr">
        <is>
          <t xml:space="preserve">Liston Flandes  45*45  </t>
        </is>
      </c>
      <c r="D86" s="158" t="n">
        <v>4500</v>
      </c>
      <c r="E86" s="158" t="n">
        <v>45</v>
      </c>
      <c r="F86" s="158" t="n">
        <v>45</v>
      </c>
      <c r="G86" s="153" t="n">
        <v>1.67</v>
      </c>
      <c r="H86" s="158" t="inlineStr">
        <is>
          <t>€/ml</t>
        </is>
      </c>
      <c r="I86" s="156" t="inlineStr">
        <is>
          <t>Closa</t>
        </is>
      </c>
      <c r="J86" s="52" t="n"/>
      <c r="K86" s="51" t="n"/>
      <c r="L86" s="52" t="n"/>
      <c r="M86" s="51" t="n"/>
      <c r="N86" s="153" t="n">
        <v>1.67</v>
      </c>
      <c r="O86" s="158" t="inlineStr">
        <is>
          <t>Paquete</t>
        </is>
      </c>
      <c r="P86" s="153" t="n"/>
    </row>
    <row r="87" customFormat="1" s="170">
      <c r="A87" s="160" t="inlineStr">
        <is>
          <t>Liston</t>
        </is>
      </c>
      <c r="B87" s="160" t="inlineStr">
        <is>
          <t>Pino</t>
        </is>
      </c>
      <c r="C87" s="160" t="inlineStr">
        <is>
          <t>Liston Flandes  45*70</t>
        </is>
      </c>
      <c r="D87" s="160" t="n">
        <v>4500</v>
      </c>
      <c r="E87" s="160" t="n">
        <v>45</v>
      </c>
      <c r="F87" s="160" t="n">
        <v>70</v>
      </c>
      <c r="G87" s="121" t="n">
        <v>1.99</v>
      </c>
      <c r="H87" s="160" t="inlineStr">
        <is>
          <t>€/ml</t>
        </is>
      </c>
      <c r="I87" s="160" t="inlineStr">
        <is>
          <t>Forestal Vic</t>
        </is>
      </c>
      <c r="J87" s="52" t="n"/>
      <c r="K87" s="51" t="n"/>
      <c r="L87" s="52" t="n"/>
      <c r="M87" s="51" t="n"/>
      <c r="N87" s="153" t="n"/>
      <c r="O87" s="158" t="n"/>
      <c r="P87" s="153" t="n"/>
    </row>
    <row r="88" customFormat="1" s="170">
      <c r="A88" s="158" t="inlineStr">
        <is>
          <t>Liston</t>
        </is>
      </c>
      <c r="B88" s="158" t="inlineStr">
        <is>
          <t>Pino</t>
        </is>
      </c>
      <c r="C88" s="158" t="inlineStr">
        <is>
          <t>Liston Flandes  45*70  (SON DE 12MTS, LES PODEM VENDRE A 3000,4000,5000,6000,70000)</t>
        </is>
      </c>
      <c r="D88" s="158" t="n">
        <v>4500</v>
      </c>
      <c r="E88" s="158" t="n">
        <v>45</v>
      </c>
      <c r="F88" s="158" t="n">
        <v>70</v>
      </c>
      <c r="G88" s="153" t="n">
        <v>1.45</v>
      </c>
      <c r="H88" s="158" t="inlineStr">
        <is>
          <t>€/ml</t>
        </is>
      </c>
      <c r="I88" s="156" t="inlineStr">
        <is>
          <t xml:space="preserve">Albaertch </t>
        </is>
      </c>
      <c r="J88" s="52" t="n"/>
      <c r="K88" s="51" t="n"/>
      <c r="L88" s="52" t="n"/>
      <c r="M88" s="51" t="n"/>
      <c r="N88" s="153" t="n"/>
      <c r="O88" s="158" t="n"/>
      <c r="P88" s="153" t="n"/>
    </row>
    <row r="89" customFormat="1" s="170">
      <c r="A89" s="158" t="inlineStr">
        <is>
          <t>Liston</t>
        </is>
      </c>
      <c r="B89" s="158" t="inlineStr">
        <is>
          <t>Pino</t>
        </is>
      </c>
      <c r="C89" s="158" t="inlineStr">
        <is>
          <t xml:space="preserve">Liston Flandes  45*70  </t>
        </is>
      </c>
      <c r="D89" s="158" t="n">
        <v>4500</v>
      </c>
      <c r="E89" s="158" t="n">
        <v>45</v>
      </c>
      <c r="F89" s="158" t="n">
        <v>70</v>
      </c>
      <c r="G89" s="153" t="n">
        <v>2.37</v>
      </c>
      <c r="H89" s="158" t="inlineStr">
        <is>
          <t>€/ml</t>
        </is>
      </c>
      <c r="I89" s="156" t="inlineStr">
        <is>
          <t>Closa</t>
        </is>
      </c>
      <c r="J89" s="52" t="n"/>
      <c r="K89" s="51" t="n"/>
      <c r="L89" s="52" t="n"/>
      <c r="M89" s="51" t="n"/>
      <c r="N89" s="153" t="n">
        <v>2.25</v>
      </c>
      <c r="O89" s="158" t="inlineStr">
        <is>
          <t>Paquete</t>
        </is>
      </c>
      <c r="P89" s="153" t="n"/>
    </row>
    <row r="90" customFormat="1" s="170">
      <c r="A90" s="160" t="inlineStr">
        <is>
          <t>Liston</t>
        </is>
      </c>
      <c r="B90" s="160" t="inlineStr">
        <is>
          <t>Pino</t>
        </is>
      </c>
      <c r="C90" s="160" t="inlineStr">
        <is>
          <t>Liston Flandes  20*90</t>
        </is>
      </c>
      <c r="D90" s="160" t="n">
        <v>4200</v>
      </c>
      <c r="E90" s="160" t="n">
        <v>20</v>
      </c>
      <c r="F90" s="160" t="n">
        <v>90</v>
      </c>
      <c r="G90" s="121" t="n">
        <v>1.95</v>
      </c>
      <c r="H90" s="160" t="inlineStr">
        <is>
          <t>€/ml</t>
        </is>
      </c>
      <c r="I90" s="160" t="inlineStr">
        <is>
          <t>Forestal Vic</t>
        </is>
      </c>
      <c r="J90" s="52" t="n"/>
      <c r="K90" s="51" t="n"/>
      <c r="L90" s="52" t="n"/>
      <c r="M90" s="51" t="n"/>
      <c r="N90" s="153" t="n"/>
      <c r="O90" s="158" t="n"/>
      <c r="P90" s="153" t="n"/>
    </row>
    <row r="91" customFormat="1" s="170">
      <c r="A91" s="158" t="inlineStr">
        <is>
          <t>Liston</t>
        </is>
      </c>
      <c r="B91" s="158" t="inlineStr">
        <is>
          <t>Pino</t>
        </is>
      </c>
      <c r="C91" s="158" t="inlineStr">
        <is>
          <t>Liston Flandes  22*96</t>
        </is>
      </c>
      <c r="D91" s="158" t="n">
        <v>3900</v>
      </c>
      <c r="E91" s="158" t="n">
        <v>22</v>
      </c>
      <c r="F91" s="158" t="n">
        <v>96</v>
      </c>
      <c r="G91" s="153" t="n">
        <v>1.45</v>
      </c>
      <c r="H91" s="158" t="inlineStr">
        <is>
          <t>€/ml</t>
        </is>
      </c>
      <c r="I91" s="158" t="inlineStr">
        <is>
          <t>Albertch</t>
        </is>
      </c>
      <c r="J91" s="52" t="n"/>
      <c r="K91" s="51" t="n"/>
      <c r="L91" s="52" t="n"/>
      <c r="M91" s="51" t="n"/>
      <c r="N91" s="153" t="n"/>
      <c r="O91" s="158" t="n"/>
      <c r="P91" s="153" t="n"/>
    </row>
    <row r="92" customFormat="1" s="170">
      <c r="A92" s="160" t="inlineStr">
        <is>
          <t>Liston</t>
        </is>
      </c>
      <c r="B92" s="160" t="inlineStr">
        <is>
          <t>Aveto</t>
        </is>
      </c>
      <c r="C92" s="160" t="inlineStr">
        <is>
          <t>Biga laminada avet GL24H</t>
        </is>
      </c>
      <c r="D92" s="160" t="n">
        <v>6500</v>
      </c>
      <c r="E92" s="160" t="n">
        <v>120</v>
      </c>
      <c r="F92" s="160" t="n">
        <v>60</v>
      </c>
      <c r="G92" s="121" t="n">
        <v>5.84</v>
      </c>
      <c r="H92" s="160" t="inlineStr">
        <is>
          <t>€/ml</t>
        </is>
      </c>
      <c r="I92" s="160" t="inlineStr">
        <is>
          <t>Forestal Vic</t>
        </is>
      </c>
      <c r="J92" s="52" t="n"/>
      <c r="K92" s="51" t="n"/>
      <c r="L92" s="52" t="n"/>
      <c r="M92" s="51" t="n"/>
      <c r="N92" s="153" t="n"/>
      <c r="O92" s="158" t="n"/>
      <c r="P92" s="153" t="n"/>
    </row>
    <row r="93" customFormat="1" s="170">
      <c r="A93" s="158" t="inlineStr">
        <is>
          <t>Liston</t>
        </is>
      </c>
      <c r="B93" s="158" t="inlineStr">
        <is>
          <t>Aveto</t>
        </is>
      </c>
      <c r="C93" s="158" t="inlineStr">
        <is>
          <t>Biga laminada avet GL24H  (SON DE 12MTS, LES PODEM VENDRE A 3000,4000,5000,6000,70000)</t>
        </is>
      </c>
      <c r="D93" s="158" t="n">
        <v>6500</v>
      </c>
      <c r="E93" s="158" t="n">
        <v>120</v>
      </c>
      <c r="F93" s="158" t="n">
        <v>60</v>
      </c>
      <c r="G93" s="153" t="n">
        <v>4.92</v>
      </c>
      <c r="H93" s="158" t="inlineStr">
        <is>
          <t>€/ml</t>
        </is>
      </c>
      <c r="I93" s="156" t="inlineStr">
        <is>
          <t xml:space="preserve">Albaertch </t>
        </is>
      </c>
      <c r="J93" s="52" t="n"/>
      <c r="K93" s="51" t="n"/>
      <c r="L93" s="52" t="n"/>
      <c r="M93" s="51" t="n"/>
      <c r="N93" s="153" t="n"/>
      <c r="O93" s="158" t="n"/>
      <c r="P93" s="153" t="n"/>
    </row>
    <row r="94" customFormat="1" s="170">
      <c r="A94" s="160" t="inlineStr">
        <is>
          <t>Liston</t>
        </is>
      </c>
      <c r="B94" s="160" t="inlineStr">
        <is>
          <t>Aveto</t>
        </is>
      </c>
      <c r="C94" s="160" t="inlineStr">
        <is>
          <t>Biga laminada avet  120*120</t>
        </is>
      </c>
      <c r="D94" s="160" t="n">
        <v>6500</v>
      </c>
      <c r="E94" s="160" t="n">
        <v>120</v>
      </c>
      <c r="F94" s="160" t="n">
        <v>120</v>
      </c>
      <c r="G94" s="73" t="n">
        <v>12</v>
      </c>
      <c r="H94" s="160" t="inlineStr">
        <is>
          <t>€/ml</t>
        </is>
      </c>
      <c r="I94" s="160" t="inlineStr">
        <is>
          <t>Forestal Vic</t>
        </is>
      </c>
      <c r="J94" s="52" t="n"/>
      <c r="K94" s="51" t="n"/>
      <c r="L94" s="52" t="n"/>
      <c r="M94" s="51" t="n"/>
      <c r="N94" s="153" t="n"/>
      <c r="O94" s="158" t="n"/>
      <c r="P94" s="153" t="n"/>
    </row>
    <row r="95" customFormat="1" s="170">
      <c r="A95" s="45" t="n"/>
      <c r="B95" s="45" t="n"/>
      <c r="C95" s="45" t="n"/>
      <c r="D95" s="45" t="n"/>
      <c r="E95" s="45" t="n"/>
      <c r="F95" s="45" t="n"/>
      <c r="G95" s="46" t="n"/>
      <c r="H95" s="45" t="n"/>
      <c r="I95" s="56" t="n"/>
      <c r="J95" s="55" t="n"/>
      <c r="K95" s="54" t="n"/>
      <c r="L95" s="55" t="n"/>
      <c r="M95" s="54" t="n"/>
      <c r="N95" s="46" t="n"/>
      <c r="O95" s="45" t="n"/>
      <c r="P95" s="45" t="n"/>
    </row>
    <row r="96" customFormat="1" s="170">
      <c r="A96" s="160" t="inlineStr">
        <is>
          <t>Canto</t>
        </is>
      </c>
      <c r="B96" s="160" t="inlineStr">
        <is>
          <t>Haya</t>
        </is>
      </c>
      <c r="C96" s="160" t="inlineStr">
        <is>
          <t>Canto xapa 22*0,8 mm Haya Natural (Es natural??)</t>
        </is>
      </c>
      <c r="D96" s="160" t="n"/>
      <c r="E96" s="160" t="n">
        <v>22</v>
      </c>
      <c r="F96" s="160" t="n">
        <v>5</v>
      </c>
      <c r="G96" s="73" t="n">
        <v>0.42</v>
      </c>
      <c r="H96" s="160" t="inlineStr">
        <is>
          <t>€/ml</t>
        </is>
      </c>
      <c r="I96" s="74" t="inlineStr">
        <is>
          <t>Closa</t>
        </is>
      </c>
      <c r="J96" s="52" t="n"/>
      <c r="K96" s="51" t="n"/>
      <c r="L96" s="52" t="n"/>
      <c r="M96" s="51" t="n"/>
      <c r="N96" s="153" t="n"/>
      <c r="O96" s="158" t="n"/>
      <c r="P96" s="153" t="n"/>
    </row>
    <row r="97" customFormat="1" s="170">
      <c r="A97" s="158" t="inlineStr">
        <is>
          <t>Canto</t>
        </is>
      </c>
      <c r="B97" s="158" t="inlineStr">
        <is>
          <t>Haya</t>
        </is>
      </c>
      <c r="C97" s="158" t="inlineStr">
        <is>
          <t>Canto xapa 22*5mm Haya Natural</t>
        </is>
      </c>
      <c r="D97" s="158" t="n"/>
      <c r="E97" s="158" t="n">
        <v>22</v>
      </c>
      <c r="F97" s="158" t="n">
        <v>5</v>
      </c>
      <c r="G97" s="153" t="n">
        <v>0.35</v>
      </c>
      <c r="H97" s="158" t="inlineStr">
        <is>
          <t>€/ml</t>
        </is>
      </c>
      <c r="I97" s="156" t="inlineStr">
        <is>
          <t>M&amp;M Cantos</t>
        </is>
      </c>
      <c r="J97" s="52" t="n"/>
      <c r="K97" s="51" t="n"/>
      <c r="L97" s="52" t="n"/>
      <c r="M97" s="51" t="n"/>
      <c r="N97" s="153" t="n"/>
      <c r="O97" s="158" t="n"/>
      <c r="P97" s="153" t="n"/>
    </row>
    <row r="98" customFormat="1" s="170">
      <c r="A98" s="160" t="inlineStr">
        <is>
          <t xml:space="preserve">Canto </t>
        </is>
      </c>
      <c r="B98" s="160" t="inlineStr">
        <is>
          <t>Negro</t>
        </is>
      </c>
      <c r="C98" s="160" t="inlineStr">
        <is>
          <t>CANTELL NEGRE 22 X 0,8</t>
        </is>
      </c>
      <c r="D98" s="160" t="n"/>
      <c r="E98" s="160" t="n">
        <v>22</v>
      </c>
      <c r="F98" s="160" t="n">
        <v>0.8</v>
      </c>
      <c r="G98" s="121" t="n">
        <v>0.38</v>
      </c>
      <c r="H98" s="160" t="inlineStr">
        <is>
          <t>€/ml</t>
        </is>
      </c>
      <c r="I98" s="74" t="inlineStr">
        <is>
          <t>Closa</t>
        </is>
      </c>
      <c r="J98" s="52" t="n"/>
      <c r="K98" s="51" t="n"/>
      <c r="L98" s="52" t="n"/>
      <c r="M98" s="51" t="n"/>
      <c r="N98" s="153" t="n"/>
      <c r="O98" s="158" t="n"/>
      <c r="P98" s="153" t="n"/>
    </row>
    <row r="99" customFormat="1" s="170">
      <c r="A99" s="158" t="inlineStr">
        <is>
          <t xml:space="preserve">Canto </t>
        </is>
      </c>
      <c r="B99" s="158" t="inlineStr">
        <is>
          <t>Negro</t>
        </is>
      </c>
      <c r="C99" s="158" t="inlineStr">
        <is>
          <t xml:space="preserve">Canto ABS Negro U-190 23*0,8 </t>
        </is>
      </c>
      <c r="D99" s="158" t="n"/>
      <c r="E99" s="158" t="n">
        <v>23</v>
      </c>
      <c r="F99" s="158" t="n">
        <v>0.8</v>
      </c>
      <c r="G99" s="153" t="n">
        <v>0.68</v>
      </c>
      <c r="H99" s="158" t="inlineStr">
        <is>
          <t>€/ml</t>
        </is>
      </c>
      <c r="I99" s="156" t="inlineStr">
        <is>
          <t>Mausa</t>
        </is>
      </c>
      <c r="J99" s="52" t="n"/>
      <c r="K99" s="51" t="n"/>
      <c r="L99" s="52" t="n"/>
      <c r="M99" s="51" t="n"/>
      <c r="N99" s="153" t="n"/>
      <c r="O99" s="158" t="n"/>
      <c r="P99" s="153" t="n"/>
    </row>
    <row r="100" customFormat="1" s="170">
      <c r="A100" s="160" t="inlineStr">
        <is>
          <t xml:space="preserve">Canto </t>
        </is>
      </c>
      <c r="B100" s="160" t="inlineStr">
        <is>
          <t>Blanco</t>
        </is>
      </c>
      <c r="C100" s="160" t="inlineStr">
        <is>
          <t>CANTELL Blanco 22 X 0,8</t>
        </is>
      </c>
      <c r="D100" s="160" t="n"/>
      <c r="E100" s="160" t="n">
        <v>22</v>
      </c>
      <c r="F100" s="160" t="n">
        <v>0.8</v>
      </c>
      <c r="G100" s="121" t="n">
        <v>0.18</v>
      </c>
      <c r="H100" s="160" t="inlineStr">
        <is>
          <t>€/ml</t>
        </is>
      </c>
      <c r="I100" s="74" t="inlineStr">
        <is>
          <t>Closa</t>
        </is>
      </c>
      <c r="J100" s="52" t="n"/>
      <c r="K100" s="51" t="n"/>
      <c r="L100" s="52" t="n"/>
      <c r="M100" s="51" t="n"/>
      <c r="N100" s="153" t="n"/>
      <c r="O100" s="158" t="n"/>
      <c r="P100" s="153" t="n"/>
    </row>
    <row r="101" customFormat="1" s="170">
      <c r="A101" s="160" t="inlineStr">
        <is>
          <t xml:space="preserve">Canto </t>
        </is>
      </c>
      <c r="B101" s="160" t="inlineStr">
        <is>
          <t>Velvet Oak</t>
        </is>
      </c>
      <c r="C101" s="160" t="inlineStr">
        <is>
          <t>Canto  Velvet Oak</t>
        </is>
      </c>
      <c r="D101" s="160" t="n"/>
      <c r="E101" s="160" t="n">
        <v>22</v>
      </c>
      <c r="F101" s="160" t="n">
        <v>0.8</v>
      </c>
      <c r="G101" s="121">
        <f>35.217/100</f>
        <v/>
      </c>
      <c r="H101" s="160" t="inlineStr">
        <is>
          <t>€/ml</t>
        </is>
      </c>
      <c r="I101" s="74" t="inlineStr">
        <is>
          <t>M&amp;M Cantos</t>
        </is>
      </c>
      <c r="J101" s="52" t="n"/>
      <c r="K101" s="51" t="n"/>
      <c r="L101" s="52" t="n"/>
      <c r="M101" s="51" t="n"/>
      <c r="N101" s="153" t="n"/>
      <c r="O101" s="158" t="n"/>
      <c r="P101" s="153" t="n"/>
    </row>
    <row r="102" customFormat="1" s="170">
      <c r="A102" s="160" t="inlineStr">
        <is>
          <t xml:space="preserve">Canto </t>
        </is>
      </c>
      <c r="B102" s="160" t="inlineStr">
        <is>
          <t>Niagara Oak</t>
        </is>
      </c>
      <c r="C102" s="160" t="inlineStr">
        <is>
          <t>Canto  Niagara Oak</t>
        </is>
      </c>
      <c r="D102" s="160" t="n"/>
      <c r="E102" s="160" t="n">
        <v>22</v>
      </c>
      <c r="F102" s="160" t="n">
        <v>0.8</v>
      </c>
      <c r="G102" s="121">
        <f>35.217/100</f>
        <v/>
      </c>
      <c r="H102" s="160" t="inlineStr">
        <is>
          <t>€/ml</t>
        </is>
      </c>
      <c r="I102" s="74" t="inlineStr">
        <is>
          <t>M&amp;M Cantos</t>
        </is>
      </c>
      <c r="J102" s="52" t="n"/>
      <c r="K102" s="51" t="n"/>
      <c r="L102" s="52" t="n"/>
      <c r="M102" s="51" t="n"/>
      <c r="N102" s="153" t="n"/>
      <c r="O102" s="158" t="n"/>
      <c r="P102" s="153" t="n"/>
    </row>
    <row r="103" customFormat="1" s="170">
      <c r="A103" s="160" t="inlineStr">
        <is>
          <t xml:space="preserve">Canto </t>
        </is>
      </c>
      <c r="B103" s="160" t="inlineStr">
        <is>
          <t xml:space="preserve">Papaya </t>
        </is>
      </c>
      <c r="C103" s="160" t="inlineStr">
        <is>
          <t xml:space="preserve">Canto  Papaya </t>
        </is>
      </c>
      <c r="D103" s="160" t="n"/>
      <c r="E103" s="160" t="n">
        <v>22</v>
      </c>
      <c r="F103" s="160" t="n">
        <v>0.8</v>
      </c>
      <c r="G103" s="121">
        <f>35.217/100</f>
        <v/>
      </c>
      <c r="H103" s="160" t="inlineStr">
        <is>
          <t>€/ml</t>
        </is>
      </c>
      <c r="I103" s="74" t="inlineStr">
        <is>
          <t>M&amp;M Cantos</t>
        </is>
      </c>
      <c r="J103" s="52" t="n"/>
      <c r="K103" s="51" t="n"/>
      <c r="L103" s="52" t="n"/>
      <c r="M103" s="51" t="n"/>
      <c r="N103" s="153" t="n"/>
      <c r="O103" s="158" t="n"/>
      <c r="P103" s="153" t="n"/>
    </row>
    <row r="104" customFormat="1" s="170">
      <c r="A104" s="45" t="n"/>
      <c r="B104" s="45" t="n"/>
      <c r="C104" s="45" t="n"/>
      <c r="D104" s="45" t="n"/>
      <c r="E104" s="45" t="n"/>
      <c r="F104" s="45" t="n"/>
      <c r="G104" s="46" t="n"/>
      <c r="H104" s="45" t="n"/>
      <c r="I104" s="45" t="n"/>
      <c r="J104" s="46" t="n"/>
      <c r="K104" s="45" t="n"/>
      <c r="L104" s="46" t="n"/>
      <c r="M104" s="45" t="n"/>
      <c r="N104" s="46" t="n"/>
      <c r="O104" s="45" t="n"/>
      <c r="P104" s="45" t="n"/>
    </row>
    <row r="105" customFormat="1" s="170">
      <c r="A105" s="158" t="inlineStr">
        <is>
          <t>Perfil</t>
        </is>
      </c>
      <c r="B105" s="158" t="inlineStr">
        <is>
          <t>Aluminio Negro</t>
        </is>
      </c>
      <c r="C105" s="158" t="inlineStr">
        <is>
          <t>Perfil 40*20 Negro Brillante</t>
        </is>
      </c>
      <c r="D105" s="158" t="n">
        <v>6000</v>
      </c>
      <c r="E105" s="158" t="n">
        <v>40</v>
      </c>
      <c r="F105" s="158" t="n">
        <v>20</v>
      </c>
      <c r="G105" s="153" t="n">
        <v>2.541</v>
      </c>
      <c r="H105" s="158" t="inlineStr">
        <is>
          <t>€/ml</t>
        </is>
      </c>
      <c r="I105" s="158" t="inlineStr">
        <is>
          <t>Provedal</t>
        </is>
      </c>
      <c r="J105" s="153" t="n"/>
      <c r="K105" s="158" t="n"/>
      <c r="L105" s="153" t="n"/>
      <c r="M105" s="158" t="n"/>
      <c r="N105" s="153" t="n"/>
      <c r="O105" s="158" t="n"/>
      <c r="P105" s="153" t="n"/>
    </row>
    <row r="106" customFormat="1" s="170">
      <c r="A106" s="158" t="inlineStr">
        <is>
          <t>Perfil</t>
        </is>
      </c>
      <c r="B106" s="158" t="inlineStr">
        <is>
          <t>Aluminio Blanco</t>
        </is>
      </c>
      <c r="C106" s="158" t="inlineStr">
        <is>
          <t>Perfil 40*20 Blanco Brillante</t>
        </is>
      </c>
      <c r="D106" s="158" t="n">
        <v>6000</v>
      </c>
      <c r="E106" s="158" t="n">
        <v>40</v>
      </c>
      <c r="F106" s="158" t="n">
        <v>20</v>
      </c>
      <c r="G106" s="153" t="n">
        <v>2.36</v>
      </c>
      <c r="H106" s="158" t="inlineStr">
        <is>
          <t>€/ml</t>
        </is>
      </c>
      <c r="I106" s="158" t="inlineStr">
        <is>
          <t>Provedal</t>
        </is>
      </c>
      <c r="J106" s="153" t="n"/>
      <c r="K106" s="158" t="n"/>
      <c r="L106" s="153" t="n"/>
      <c r="M106" s="158" t="n"/>
      <c r="N106" s="153" t="n"/>
      <c r="O106" s="158" t="n"/>
      <c r="P106" s="153" t="n"/>
    </row>
    <row r="107" customFormat="1" s="170">
      <c r="A107" s="158" t="inlineStr">
        <is>
          <t>Pletina</t>
        </is>
      </c>
      <c r="B107" s="158" t="inlineStr">
        <is>
          <t>Aluminio Negro</t>
        </is>
      </c>
      <c r="C107" s="158" t="inlineStr">
        <is>
          <t>Pletina 20*3 Negro Brillante</t>
        </is>
      </c>
      <c r="D107" s="158" t="n">
        <v>6000</v>
      </c>
      <c r="E107" s="158" t="n">
        <v>20</v>
      </c>
      <c r="F107" s="158" t="n">
        <v>3</v>
      </c>
      <c r="G107" s="153" t="n">
        <v>2.39</v>
      </c>
      <c r="H107" s="158" t="inlineStr">
        <is>
          <t>€/ml</t>
        </is>
      </c>
      <c r="I107" s="158" t="inlineStr">
        <is>
          <t>Provedal</t>
        </is>
      </c>
      <c r="J107" s="153" t="n"/>
      <c r="K107" s="158" t="n"/>
      <c r="L107" s="153" t="n"/>
      <c r="M107" s="158" t="n"/>
      <c r="N107" s="153" t="n"/>
      <c r="O107" s="158" t="n"/>
      <c r="P107" s="153" t="n"/>
    </row>
    <row r="108" customFormat="1" s="170">
      <c r="A108" s="158" t="inlineStr">
        <is>
          <t>Perfil</t>
        </is>
      </c>
      <c r="B108" s="158" t="inlineStr">
        <is>
          <t>Textil</t>
        </is>
      </c>
      <c r="C108" s="158" t="inlineStr">
        <is>
          <t>Para Textiles Silicona</t>
        </is>
      </c>
      <c r="D108" s="61" t="n"/>
      <c r="E108" s="61" t="n"/>
      <c r="F108" s="61" t="n"/>
      <c r="G108" s="49" t="n">
        <v>5</v>
      </c>
      <c r="H108" s="158" t="inlineStr">
        <is>
          <t>€/ml</t>
        </is>
      </c>
      <c r="I108" s="61" t="inlineStr">
        <is>
          <t>?</t>
        </is>
      </c>
      <c r="J108" s="153" t="n"/>
      <c r="K108" s="158" t="n"/>
      <c r="L108" s="153" t="n"/>
      <c r="M108" s="158" t="n"/>
      <c r="N108" s="153" t="n"/>
      <c r="O108" s="158" t="n"/>
      <c r="P108" s="153" t="n"/>
    </row>
    <row r="109" customFormat="1" s="170">
      <c r="A109" s="158" t="inlineStr">
        <is>
          <t>Perfil</t>
        </is>
      </c>
      <c r="B109" s="158" t="inlineStr">
        <is>
          <t>Aluminio</t>
        </is>
      </c>
      <c r="C109" s="61" t="inlineStr">
        <is>
          <t>Perfil en U aluminio  (?Cristal?)</t>
        </is>
      </c>
      <c r="D109" s="61" t="n"/>
      <c r="E109" s="61" t="n"/>
      <c r="F109" s="61" t="n"/>
      <c r="G109" s="49" t="n">
        <v>5.77</v>
      </c>
      <c r="H109" s="158" t="inlineStr">
        <is>
          <t>€/ml</t>
        </is>
      </c>
      <c r="I109" s="61" t="inlineStr">
        <is>
          <t>?</t>
        </is>
      </c>
      <c r="J109" s="153" t="n"/>
      <c r="K109" s="158" t="n"/>
      <c r="L109" s="153" t="n"/>
      <c r="M109" s="158" t="n"/>
      <c r="N109" s="153" t="n"/>
      <c r="O109" s="158" t="n"/>
      <c r="P109" s="153" t="n"/>
    </row>
    <row r="110" customFormat="1" s="170">
      <c r="A110" s="45" t="n"/>
      <c r="B110" s="45" t="n"/>
      <c r="C110" s="45" t="n"/>
      <c r="D110" s="45" t="n"/>
      <c r="E110" s="45" t="n"/>
      <c r="F110" s="45" t="n"/>
      <c r="G110" s="46" t="n"/>
      <c r="H110" s="45" t="n"/>
      <c r="I110" s="45" t="n"/>
      <c r="J110" s="46" t="n"/>
      <c r="K110" s="45" t="n"/>
      <c r="L110" s="46" t="n"/>
      <c r="M110" s="45" t="n"/>
      <c r="N110" s="46" t="n"/>
      <c r="O110" s="45" t="n"/>
      <c r="P110" s="45" t="n"/>
    </row>
    <row r="111" customFormat="1" s="170">
      <c r="A111" s="158" t="inlineStr">
        <is>
          <t>Muro</t>
        </is>
      </c>
      <c r="B111" s="158" t="inlineStr">
        <is>
          <t>Bmatrix</t>
        </is>
      </c>
      <c r="C111" s="158" t="inlineStr">
        <is>
          <t>Alquiler Muro Bmatrix</t>
        </is>
      </c>
      <c r="D111" s="61" t="n"/>
      <c r="E111" s="61" t="n"/>
      <c r="F111" s="61" t="n"/>
      <c r="G111" s="49" t="n">
        <v>50</v>
      </c>
      <c r="H111" s="158" t="inlineStr">
        <is>
          <t>€/m2</t>
        </is>
      </c>
      <c r="I111" s="61" t="n"/>
      <c r="J111" s="153" t="n"/>
      <c r="K111" s="158" t="n"/>
      <c r="L111" s="153" t="n"/>
      <c r="M111" s="158" t="n"/>
      <c r="N111" s="153" t="n"/>
      <c r="O111" s="158" t="n"/>
      <c r="P111" s="158" t="n"/>
    </row>
    <row r="112" customFormat="1" s="170">
      <c r="A112" s="45" t="n"/>
      <c r="B112" s="45" t="n"/>
      <c r="C112" s="45" t="n"/>
      <c r="D112" s="45" t="n"/>
      <c r="E112" s="45" t="n"/>
      <c r="F112" s="45" t="n"/>
      <c r="G112" s="46" t="n"/>
      <c r="H112" s="45" t="n"/>
      <c r="I112" s="45" t="n"/>
      <c r="J112" s="46" t="n"/>
      <c r="K112" s="45" t="n"/>
      <c r="L112" s="46" t="n"/>
      <c r="M112" s="45" t="n"/>
      <c r="N112" s="46" t="n"/>
      <c r="O112" s="45" t="n"/>
      <c r="P112" s="45" t="n"/>
    </row>
    <row r="113" customFormat="1" s="170">
      <c r="A113" s="160" t="inlineStr">
        <is>
          <t>Logistica</t>
        </is>
      </c>
      <c r="B113" s="160" t="inlineStr">
        <is>
          <t>1 Trailer</t>
        </is>
      </c>
      <c r="C113" s="160" t="inlineStr">
        <is>
          <t>ESWood - Feria BCN (13,6 Largo *2,4 Ancho *2,6 Alto)</t>
        </is>
      </c>
      <c r="D113" s="71" t="n"/>
      <c r="E113" s="71" t="n"/>
      <c r="F113" s="71" t="n"/>
      <c r="G113" s="121" t="n">
        <v>390</v>
      </c>
      <c r="H113" s="160" t="inlineStr">
        <is>
          <t>Viaje</t>
        </is>
      </c>
      <c r="I113" s="160" t="inlineStr">
        <is>
          <t>Sertrans</t>
        </is>
      </c>
      <c r="J113" s="121" t="n">
        <v>200</v>
      </c>
      <c r="K113" s="160" t="inlineStr">
        <is>
          <t>Festivo</t>
        </is>
      </c>
      <c r="L113" s="121" t="n">
        <v>150</v>
      </c>
      <c r="M113" s="160" t="inlineStr">
        <is>
          <t>Dia siguente</t>
        </is>
      </c>
      <c r="N113" s="153" t="n"/>
      <c r="O113" s="158" t="n"/>
      <c r="P113" s="153" t="n"/>
    </row>
    <row r="114" customFormat="1" s="170">
      <c r="A114" s="158" t="inlineStr">
        <is>
          <t>Logistica</t>
        </is>
      </c>
      <c r="B114" s="158" t="inlineStr">
        <is>
          <t>1 Trailer</t>
        </is>
      </c>
      <c r="C114" s="158" t="inlineStr">
        <is>
          <t>ESWood - Feria BCN (13,6 Largo *2,4 Ancho *2,6 Alto)</t>
        </is>
      </c>
      <c r="D114" s="47" t="n"/>
      <c r="E114" s="47" t="n"/>
      <c r="F114" s="47" t="n"/>
      <c r="G114" s="59" t="inlineStr">
        <is>
          <t>260 / 290</t>
        </is>
      </c>
      <c r="H114" s="59" t="inlineStr">
        <is>
          <t>Viaje</t>
        </is>
      </c>
      <c r="I114" s="59" t="inlineStr">
        <is>
          <t>Bellido</t>
        </is>
      </c>
      <c r="J114" s="59" t="inlineStr">
        <is>
          <t>320 / 420</t>
        </is>
      </c>
      <c r="K114" s="59" t="inlineStr">
        <is>
          <t>Festivo</t>
        </is>
      </c>
      <c r="L114" s="146" t="n"/>
      <c r="M114" s="158" t="n"/>
      <c r="N114" s="153" t="n"/>
      <c r="O114" s="158" t="n"/>
      <c r="P114" s="153" t="n"/>
    </row>
    <row r="115" customFormat="1" s="50">
      <c r="A115" s="158" t="inlineStr">
        <is>
          <t>Logistica</t>
        </is>
      </c>
      <c r="B115" s="158" t="inlineStr">
        <is>
          <t>1/2 Trailer</t>
        </is>
      </c>
      <c r="C115" s="158" t="inlineStr">
        <is>
          <t>ESWood - Feria BCN</t>
        </is>
      </c>
      <c r="D115" s="47" t="n"/>
      <c r="E115" s="47" t="n"/>
      <c r="F115" s="47" t="n"/>
      <c r="G115" s="49" t="n"/>
      <c r="H115" s="158" t="inlineStr">
        <is>
          <t>Viaje</t>
        </is>
      </c>
      <c r="I115" s="158" t="inlineStr">
        <is>
          <t>Sertrans</t>
        </is>
      </c>
      <c r="J115" s="49" t="n"/>
      <c r="K115" s="158" t="inlineStr">
        <is>
          <t>Festivo</t>
        </is>
      </c>
      <c r="L115" s="49" t="n"/>
      <c r="M115" s="158" t="inlineStr">
        <is>
          <t>Dia siguente</t>
        </is>
      </c>
      <c r="N115" s="52" t="n"/>
      <c r="O115" s="51" t="n"/>
      <c r="P115" s="153" t="n"/>
    </row>
    <row r="116" customFormat="1" s="170">
      <c r="A116" s="158" t="inlineStr">
        <is>
          <t>Logistica</t>
        </is>
      </c>
      <c r="B116" s="158" t="inlineStr">
        <is>
          <t>1 Trailer</t>
        </is>
      </c>
      <c r="C116" s="158" t="inlineStr">
        <is>
          <t xml:space="preserve">ESWood - Madrid  </t>
        </is>
      </c>
      <c r="D116" s="47" t="n"/>
      <c r="E116" s="47" t="n"/>
      <c r="F116" s="47" t="n"/>
      <c r="G116" s="153" t="n">
        <v>1050</v>
      </c>
      <c r="H116" s="158" t="inlineStr">
        <is>
          <t>Viaje</t>
        </is>
      </c>
      <c r="I116" s="158" t="inlineStr">
        <is>
          <t>Sertrans</t>
        </is>
      </c>
      <c r="J116" s="153" t="n"/>
      <c r="K116" s="158" t="n"/>
      <c r="L116" s="153" t="n"/>
      <c r="M116" s="158" t="n"/>
      <c r="N116" s="153" t="n"/>
      <c r="O116" s="158" t="n"/>
      <c r="P116" s="153" t="n"/>
    </row>
    <row r="117" customFormat="1" s="170">
      <c r="A117" s="158" t="inlineStr">
        <is>
          <t>Logistica</t>
        </is>
      </c>
      <c r="B117" s="158" t="inlineStr">
        <is>
          <t>1/2 Trailer</t>
        </is>
      </c>
      <c r="C117" s="158" t="inlineStr">
        <is>
          <t>ESWood - Vigo</t>
        </is>
      </c>
      <c r="D117" s="47" t="n"/>
      <c r="E117" s="47" t="n"/>
      <c r="F117" s="47" t="n"/>
      <c r="G117" s="153" t="n">
        <v>1150</v>
      </c>
      <c r="H117" s="158" t="inlineStr">
        <is>
          <t>Viaje</t>
        </is>
      </c>
      <c r="I117" s="158" t="inlineStr">
        <is>
          <t>Sertrans</t>
        </is>
      </c>
      <c r="J117" s="153" t="n">
        <v>250</v>
      </c>
      <c r="K117" s="158" t="inlineStr">
        <is>
          <t>Sabado</t>
        </is>
      </c>
      <c r="L117" s="153" t="n">
        <v>375</v>
      </c>
      <c r="M117" s="158" t="inlineStr">
        <is>
          <t>Domingo</t>
        </is>
      </c>
      <c r="N117" s="153" t="n"/>
      <c r="O117" s="158" t="n"/>
      <c r="P117" s="153" t="n"/>
    </row>
    <row r="118" customFormat="1" s="170">
      <c r="A118" s="158" t="inlineStr">
        <is>
          <t>Logistica</t>
        </is>
      </c>
      <c r="B118" s="158" t="inlineStr">
        <is>
          <t>1 Trailer</t>
        </is>
      </c>
      <c r="C118" s="158" t="inlineStr">
        <is>
          <t>ESWood - Vigo</t>
        </is>
      </c>
      <c r="D118" s="47" t="n"/>
      <c r="E118" s="47" t="n"/>
      <c r="F118" s="47" t="n"/>
      <c r="G118" s="153" t="n">
        <v>1700</v>
      </c>
      <c r="H118" s="158" t="inlineStr">
        <is>
          <t>Viaje</t>
        </is>
      </c>
      <c r="I118" s="158" t="inlineStr">
        <is>
          <t>Sertrans</t>
        </is>
      </c>
      <c r="J118" s="153" t="n">
        <v>250</v>
      </c>
      <c r="K118" s="158" t="inlineStr">
        <is>
          <t>Sabado</t>
        </is>
      </c>
      <c r="L118" s="153" t="n">
        <v>375</v>
      </c>
      <c r="M118" s="158" t="inlineStr">
        <is>
          <t>Domingo</t>
        </is>
      </c>
      <c r="N118" s="153" t="n"/>
      <c r="O118" s="158" t="n"/>
      <c r="P118" s="153" t="n"/>
    </row>
    <row r="119" customFormat="1" s="170">
      <c r="A119" s="45" t="n"/>
      <c r="B119" s="45" t="n"/>
      <c r="C119" s="45" t="n"/>
      <c r="D119" s="45" t="n"/>
      <c r="E119" s="45" t="n"/>
      <c r="F119" s="45" t="n"/>
      <c r="G119" s="46" t="n"/>
      <c r="H119" s="45" t="n"/>
      <c r="I119" s="45" t="n"/>
      <c r="J119" s="46" t="n"/>
      <c r="K119" s="45" t="n"/>
      <c r="L119" s="46" t="n"/>
      <c r="M119" s="45" t="n"/>
      <c r="N119" s="46" t="n"/>
      <c r="O119" s="45" t="n"/>
      <c r="P119" s="45" t="n"/>
    </row>
    <row r="120" customFormat="1" s="170">
      <c r="A120" s="158" t="inlineStr">
        <is>
          <t>Logistica</t>
        </is>
      </c>
      <c r="B120" s="158" t="inlineStr">
        <is>
          <t>Toro</t>
        </is>
      </c>
      <c r="C120" s="158" t="inlineStr">
        <is>
          <t>1h con conductor Feria Granvia Resa</t>
        </is>
      </c>
      <c r="D120" s="47" t="n"/>
      <c r="E120" s="47" t="n"/>
      <c r="F120" s="47" t="n"/>
      <c r="G120" s="153" t="n">
        <v>86</v>
      </c>
      <c r="H120" s="158" t="inlineStr">
        <is>
          <t>€/1h</t>
        </is>
      </c>
      <c r="I120" s="158" t="inlineStr">
        <is>
          <t>Resa Expo</t>
        </is>
      </c>
      <c r="J120" s="153" t="n"/>
      <c r="K120" s="158" t="n"/>
      <c r="L120" s="48" t="n">
        <v>0.1</v>
      </c>
      <c r="M120" s="158" t="inlineStr">
        <is>
          <t>10 dias antelacion</t>
        </is>
      </c>
      <c r="N120" s="153" t="n"/>
      <c r="O120" s="158" t="n"/>
      <c r="P120" s="153" t="n"/>
    </row>
    <row r="121" customFormat="1" s="170">
      <c r="A121" s="158" t="inlineStr">
        <is>
          <t>Logistica</t>
        </is>
      </c>
      <c r="B121" s="158" t="inlineStr">
        <is>
          <t>Toro</t>
        </is>
      </c>
      <c r="C121" s="158" t="inlineStr">
        <is>
          <t>1 dia Sin conductor Feria Granvia Resa</t>
        </is>
      </c>
      <c r="D121" s="47" t="n"/>
      <c r="E121" s="47" t="n"/>
      <c r="F121" s="47" t="n"/>
      <c r="G121" s="153">
        <f>163+150</f>
        <v/>
      </c>
      <c r="H121" s="158" t="inlineStr">
        <is>
          <t>€/1dia</t>
        </is>
      </c>
      <c r="I121" s="158" t="inlineStr">
        <is>
          <t>Resa Expo</t>
        </is>
      </c>
      <c r="J121" s="153" t="n"/>
      <c r="K121" s="158" t="n"/>
      <c r="L121" s="48" t="n">
        <v>0.1</v>
      </c>
      <c r="M121" s="158" t="inlineStr">
        <is>
          <t>10 dias antelacion</t>
        </is>
      </c>
      <c r="N121" s="153" t="n"/>
      <c r="O121" s="158" t="n"/>
      <c r="P121" s="153" t="n"/>
    </row>
    <row r="122" customFormat="1" s="170">
      <c r="A122" s="45" t="n"/>
      <c r="B122" s="45" t="n"/>
      <c r="C122" s="45" t="n"/>
      <c r="D122" s="45" t="n"/>
      <c r="E122" s="45" t="n"/>
      <c r="F122" s="45" t="n"/>
      <c r="G122" s="46" t="n"/>
      <c r="H122" s="45" t="n"/>
      <c r="I122" s="45" t="n"/>
      <c r="J122" s="46" t="n"/>
      <c r="K122" s="45" t="n"/>
      <c r="L122" s="46" t="n"/>
      <c r="M122" s="45" t="n"/>
      <c r="N122" s="46" t="n"/>
      <c r="O122" s="45" t="n"/>
      <c r="P122" s="45" t="n"/>
    </row>
    <row r="123" customFormat="1" s="170">
      <c r="A123" s="158" t="inlineStr">
        <is>
          <t>Pintor</t>
        </is>
      </c>
      <c r="B123" s="158" t="inlineStr">
        <is>
          <t>Blanca</t>
        </is>
      </c>
      <c r="C123" s="158" t="n"/>
      <c r="D123" s="47" t="n"/>
      <c r="E123" s="47" t="n"/>
      <c r="F123" s="47" t="n"/>
      <c r="G123" s="153" t="n">
        <v>7</v>
      </c>
      <c r="H123" s="158" t="inlineStr">
        <is>
          <t>€/m2</t>
        </is>
      </c>
      <c r="I123" s="158" t="inlineStr">
        <is>
          <t>Guayaba</t>
        </is>
      </c>
      <c r="J123" s="153" t="n"/>
      <c r="K123" s="158" t="n"/>
      <c r="L123" s="153" t="n"/>
      <c r="M123" s="158" t="n"/>
      <c r="N123" s="153" t="n"/>
      <c r="O123" s="158" t="n"/>
      <c r="P123" s="153" t="n"/>
    </row>
    <row r="124" customFormat="1" s="170">
      <c r="A124" s="158" t="inlineStr">
        <is>
          <t>Pintor</t>
        </is>
      </c>
      <c r="B124" s="158" t="inlineStr">
        <is>
          <t>Color</t>
        </is>
      </c>
      <c r="C124" s="158" t="n"/>
      <c r="D124" s="47" t="n"/>
      <c r="E124" s="47" t="n"/>
      <c r="F124" s="47" t="n"/>
      <c r="G124" s="153" t="n">
        <v>10</v>
      </c>
      <c r="H124" s="158" t="inlineStr">
        <is>
          <t>€/m2</t>
        </is>
      </c>
      <c r="I124" s="158" t="inlineStr">
        <is>
          <t>Guayaba</t>
        </is>
      </c>
      <c r="J124" s="153" t="n"/>
      <c r="K124" s="158" t="n"/>
      <c r="L124" s="153" t="n"/>
      <c r="M124" s="158" t="n"/>
      <c r="N124" s="153" t="n"/>
      <c r="O124" s="158" t="n"/>
      <c r="P124" s="153" t="n"/>
    </row>
    <row r="125" customFormat="1" s="170">
      <c r="A125" s="158" t="inlineStr">
        <is>
          <t>Pintor</t>
        </is>
      </c>
      <c r="B125" s="158" t="inlineStr">
        <is>
          <t>1 Capa</t>
        </is>
      </c>
      <c r="C125" s="158" t="inlineStr">
        <is>
          <t>Almacen y Vinilo</t>
        </is>
      </c>
      <c r="D125" s="47" t="n"/>
      <c r="E125" s="47" t="n"/>
      <c r="F125" s="47" t="n"/>
      <c r="G125" s="153" t="n">
        <v>4.5</v>
      </c>
      <c r="H125" s="158" t="inlineStr">
        <is>
          <t>€/m2</t>
        </is>
      </c>
      <c r="I125" s="158" t="inlineStr">
        <is>
          <t>Guayaba</t>
        </is>
      </c>
      <c r="J125" s="153" t="n"/>
      <c r="K125" s="158" t="n"/>
      <c r="L125" s="153" t="n"/>
      <c r="M125" s="158" t="n"/>
      <c r="N125" s="153" t="n"/>
      <c r="O125" s="158" t="n"/>
      <c r="P125" s="153" t="n"/>
    </row>
    <row r="126" customFormat="1" s="170">
      <c r="A126" s="158" t="inlineStr">
        <is>
          <t>Pintor</t>
        </is>
      </c>
      <c r="B126" s="158" t="inlineStr">
        <is>
          <t>Barniz</t>
        </is>
      </c>
      <c r="C126" s="158" t="n"/>
      <c r="D126" s="47" t="n"/>
      <c r="E126" s="47" t="n"/>
      <c r="F126" s="47" t="n"/>
      <c r="G126" s="153" t="n">
        <v>11.5</v>
      </c>
      <c r="H126" s="158" t="inlineStr">
        <is>
          <t>€/m2</t>
        </is>
      </c>
      <c r="I126" s="158" t="inlineStr">
        <is>
          <t>Guayaba</t>
        </is>
      </c>
      <c r="J126" s="153" t="n"/>
      <c r="K126" s="158" t="n"/>
      <c r="L126" s="153" t="n"/>
      <c r="M126" s="158" t="n"/>
      <c r="N126" s="153" t="n"/>
      <c r="O126" s="158" t="n"/>
      <c r="P126" s="153" t="n"/>
    </row>
    <row r="127" customFormat="1" s="170">
      <c r="A127" s="158" t="inlineStr">
        <is>
          <t>Lacado</t>
        </is>
      </c>
      <c r="B127" s="158" t="inlineStr">
        <is>
          <t>Blanco</t>
        </is>
      </c>
      <c r="C127" s="158" t="inlineStr">
        <is>
          <t>Lacado blanco mueble montado</t>
        </is>
      </c>
      <c r="D127" s="47" t="n"/>
      <c r="E127" s="47" t="n"/>
      <c r="F127" s="47" t="n"/>
      <c r="G127" s="153" t="n">
        <v>40.7</v>
      </c>
      <c r="H127" s="158" t="inlineStr">
        <is>
          <t>€/m2</t>
        </is>
      </c>
      <c r="I127" s="158" t="inlineStr">
        <is>
          <t>Gopecosa</t>
        </is>
      </c>
      <c r="J127" s="153" t="n"/>
      <c r="K127" s="158" t="n"/>
      <c r="L127" s="153" t="n"/>
      <c r="M127" s="158" t="n"/>
      <c r="N127" s="153" t="n"/>
      <c r="O127" s="158" t="n"/>
      <c r="P127" s="153" t="n"/>
    </row>
    <row r="128" customFormat="1" s="170">
      <c r="A128" s="158" t="inlineStr">
        <is>
          <t>Lacado</t>
        </is>
      </c>
      <c r="B128" s="158" t="inlineStr">
        <is>
          <t>Color</t>
        </is>
      </c>
      <c r="C128" s="158" t="inlineStr">
        <is>
          <t>Lacado Color mueble montado</t>
        </is>
      </c>
      <c r="D128" s="47" t="n"/>
      <c r="E128" s="47" t="n"/>
      <c r="F128" s="47" t="n"/>
      <c r="G128" s="49" t="n">
        <v>44.7</v>
      </c>
      <c r="H128" s="158" t="inlineStr">
        <is>
          <t>€/m2</t>
        </is>
      </c>
      <c r="I128" s="158" t="inlineStr">
        <is>
          <t>Gopecosa</t>
        </is>
      </c>
      <c r="J128" s="153" t="n"/>
      <c r="K128" s="158" t="n"/>
      <c r="L128" s="153" t="n"/>
      <c r="M128" s="158" t="n"/>
      <c r="N128" s="153" t="n"/>
      <c r="O128" s="158" t="n"/>
      <c r="P128" s="153" t="n"/>
    </row>
    <row r="129" customFormat="1" s="170">
      <c r="A129" s="45" t="n"/>
      <c r="B129" s="45" t="n"/>
      <c r="C129" s="45" t="n"/>
      <c r="D129" s="45" t="n"/>
      <c r="E129" s="45" t="n"/>
      <c r="F129" s="45" t="n"/>
      <c r="G129" s="46" t="n"/>
      <c r="H129" s="45" t="n"/>
      <c r="I129" s="45" t="n"/>
      <c r="J129" s="46" t="n"/>
      <c r="K129" s="45" t="n"/>
      <c r="L129" s="46" t="n"/>
      <c r="M129" s="45" t="n"/>
      <c r="N129" s="46" t="n"/>
      <c r="O129" s="45" t="n"/>
      <c r="P129" s="45" t="n"/>
    </row>
    <row r="130" customFormat="1" s="170">
      <c r="A130" s="158" t="n"/>
      <c r="B130" s="158" t="n"/>
      <c r="C130" s="158" t="n"/>
      <c r="D130" s="158" t="n"/>
      <c r="E130" s="158" t="n"/>
      <c r="F130" s="158" t="n"/>
      <c r="G130" s="153" t="n"/>
      <c r="H130" s="158" t="n"/>
      <c r="I130" s="158" t="n"/>
      <c r="J130" s="153" t="n"/>
      <c r="K130" s="158" t="n"/>
      <c r="L130" s="153" t="n"/>
      <c r="M130" s="158" t="n"/>
      <c r="N130" s="153" t="n"/>
      <c r="O130" s="158" t="n"/>
      <c r="P130" s="153" t="n"/>
    </row>
    <row r="131" customFormat="1" s="170">
      <c r="A131" s="158" t="n"/>
      <c r="B131" s="158" t="n"/>
      <c r="C131" s="158" t="n"/>
      <c r="D131" s="158" t="n"/>
      <c r="E131" s="158" t="n"/>
      <c r="F131" s="158" t="n"/>
      <c r="G131" s="153" t="n"/>
      <c r="H131" s="158" t="n"/>
      <c r="I131" s="158" t="n"/>
      <c r="J131" s="153" t="n"/>
      <c r="K131" s="158" t="n"/>
      <c r="L131" s="153" t="n"/>
      <c r="M131" s="158" t="n"/>
      <c r="N131" s="153" t="n"/>
      <c r="O131" s="158" t="n"/>
      <c r="P131" s="153" t="n"/>
    </row>
    <row r="132" customFormat="1" s="170">
      <c r="A132" s="158" t="n"/>
      <c r="B132" s="158" t="n"/>
      <c r="C132" s="158" t="n"/>
      <c r="D132" s="158" t="n"/>
      <c r="E132" s="158" t="n"/>
      <c r="F132" s="158" t="n"/>
      <c r="G132" s="153" t="n"/>
      <c r="H132" s="158" t="n"/>
      <c r="I132" s="158" t="n"/>
      <c r="J132" s="153" t="n"/>
      <c r="K132" s="158" t="n"/>
      <c r="L132" s="153" t="n"/>
      <c r="M132" s="158" t="n"/>
      <c r="N132" s="153" t="n"/>
      <c r="O132" s="158" t="n"/>
      <c r="P132" s="153" t="n"/>
    </row>
    <row r="133" customFormat="1" s="170">
      <c r="A133" s="158" t="n"/>
      <c r="B133" s="158" t="n"/>
      <c r="C133" s="158" t="n"/>
      <c r="D133" s="158" t="n"/>
      <c r="E133" s="158" t="n"/>
      <c r="F133" s="158" t="n"/>
      <c r="G133" s="153" t="n"/>
      <c r="H133" s="158" t="n"/>
      <c r="I133" s="158" t="n"/>
      <c r="J133" s="153" t="n"/>
      <c r="K133" s="158" t="n"/>
      <c r="L133" s="153" t="n"/>
      <c r="M133" s="158" t="n"/>
      <c r="N133" s="153" t="n"/>
      <c r="O133" s="158" t="n"/>
      <c r="P133" s="153" t="n"/>
    </row>
    <row r="134" customFormat="1" s="170">
      <c r="A134" s="158" t="n"/>
      <c r="B134" s="158" t="n"/>
      <c r="C134" s="158" t="n"/>
      <c r="D134" s="158" t="n"/>
      <c r="E134" s="158" t="n"/>
      <c r="F134" s="158" t="n"/>
      <c r="G134" s="153" t="n"/>
      <c r="H134" s="158" t="n"/>
      <c r="I134" s="158" t="n"/>
      <c r="J134" s="153" t="n"/>
      <c r="K134" s="158" t="n"/>
      <c r="L134" s="153" t="n"/>
      <c r="M134" s="158" t="n"/>
      <c r="N134" s="153" t="n"/>
      <c r="O134" s="158" t="n"/>
      <c r="P134" s="153" t="n"/>
    </row>
    <row r="135" customFormat="1" s="170">
      <c r="A135" s="158" t="n"/>
      <c r="B135" s="158" t="n"/>
      <c r="C135" s="158" t="n"/>
      <c r="D135" s="158" t="n"/>
      <c r="E135" s="158" t="n"/>
      <c r="F135" s="158" t="n"/>
      <c r="G135" s="153" t="n"/>
      <c r="H135" s="158" t="n"/>
      <c r="I135" s="158" t="n"/>
      <c r="J135" s="153" t="n"/>
      <c r="K135" s="158" t="n"/>
      <c r="L135" s="153" t="n"/>
      <c r="M135" s="158" t="n"/>
      <c r="N135" s="153" t="n"/>
      <c r="O135" s="158" t="n"/>
      <c r="P135" s="153" t="n"/>
    </row>
    <row r="136" customFormat="1" s="170">
      <c r="A136" s="158" t="n"/>
      <c r="B136" s="158" t="n"/>
      <c r="C136" s="158" t="n"/>
      <c r="D136" s="158" t="n"/>
      <c r="E136" s="158" t="n"/>
      <c r="F136" s="158" t="n"/>
      <c r="G136" s="153" t="n"/>
      <c r="H136" s="158" t="n"/>
      <c r="I136" s="158" t="n"/>
      <c r="J136" s="153" t="n"/>
      <c r="K136" s="158" t="n"/>
      <c r="L136" s="153" t="n"/>
      <c r="M136" s="158" t="n"/>
      <c r="N136" s="153" t="n"/>
      <c r="O136" s="158" t="n"/>
      <c r="P136" s="153" t="n"/>
    </row>
    <row r="137" customFormat="1" s="170">
      <c r="A137" s="158" t="n"/>
      <c r="B137" s="158" t="n"/>
      <c r="C137" s="158" t="n"/>
      <c r="D137" s="158" t="n"/>
      <c r="E137" s="158" t="n"/>
      <c r="F137" s="158" t="n"/>
      <c r="G137" s="153" t="n"/>
      <c r="H137" s="158" t="n"/>
      <c r="I137" s="158" t="n"/>
      <c r="J137" s="153" t="n"/>
      <c r="K137" s="158" t="n"/>
      <c r="L137" s="153" t="n"/>
      <c r="M137" s="158" t="n"/>
      <c r="N137" s="153" t="n"/>
      <c r="O137" s="158" t="n"/>
      <c r="P137" s="153" t="n"/>
    </row>
    <row r="138" customFormat="1" s="170">
      <c r="A138" s="158" t="n"/>
      <c r="B138" s="158" t="n"/>
      <c r="C138" s="158" t="n"/>
      <c r="D138" s="158" t="n"/>
      <c r="E138" s="158" t="n"/>
      <c r="F138" s="158" t="n"/>
      <c r="G138" s="153" t="n"/>
      <c r="H138" s="158" t="n"/>
      <c r="I138" s="158" t="n"/>
      <c r="J138" s="153" t="n"/>
      <c r="K138" s="158" t="n"/>
      <c r="L138" s="153" t="n"/>
      <c r="M138" s="158" t="n"/>
      <c r="N138" s="153" t="n"/>
      <c r="O138" s="158" t="n"/>
      <c r="P138" s="153" t="n"/>
    </row>
    <row r="139" customFormat="1" s="170">
      <c r="A139" s="158" t="n"/>
      <c r="B139" s="158" t="n"/>
      <c r="C139" s="158" t="n"/>
      <c r="D139" s="158" t="n"/>
      <c r="E139" s="158" t="n"/>
      <c r="F139" s="158" t="n"/>
      <c r="G139" s="153" t="n"/>
      <c r="H139" s="158" t="n"/>
      <c r="I139" s="158" t="n"/>
      <c r="J139" s="153" t="n"/>
      <c r="K139" s="158" t="n"/>
      <c r="L139" s="153" t="n"/>
      <c r="M139" s="158" t="n"/>
      <c r="N139" s="153" t="n"/>
      <c r="O139" s="158" t="n"/>
      <c r="P139" s="153" t="n"/>
    </row>
    <row r="140" customFormat="1" s="170">
      <c r="A140" s="158" t="n"/>
      <c r="B140" s="158" t="n"/>
      <c r="C140" s="158" t="n"/>
      <c r="D140" s="158" t="n"/>
      <c r="E140" s="158" t="n"/>
      <c r="F140" s="158" t="n"/>
      <c r="G140" s="153" t="n"/>
      <c r="H140" s="158" t="n"/>
      <c r="I140" s="158" t="n"/>
      <c r="J140" s="153" t="n"/>
      <c r="K140" s="158" t="n"/>
      <c r="L140" s="153" t="n"/>
      <c r="M140" s="158" t="n"/>
      <c r="N140" s="153" t="n"/>
      <c r="O140" s="158" t="n"/>
      <c r="P140" s="153" t="n"/>
    </row>
    <row r="141" customFormat="1" s="170">
      <c r="A141" s="158" t="n"/>
      <c r="B141" s="158" t="n"/>
      <c r="C141" s="158" t="n"/>
      <c r="D141" s="158" t="n"/>
      <c r="E141" s="158" t="n"/>
      <c r="F141" s="158" t="n"/>
      <c r="G141" s="153" t="n"/>
      <c r="H141" s="158" t="n"/>
      <c r="I141" s="158" t="n"/>
      <c r="J141" s="153" t="n"/>
      <c r="K141" s="158" t="n"/>
      <c r="L141" s="153" t="n"/>
      <c r="M141" s="158" t="n"/>
      <c r="N141" s="153" t="n"/>
      <c r="O141" s="158" t="n"/>
      <c r="P141" s="153" t="n"/>
    </row>
    <row r="142" customFormat="1" s="170">
      <c r="A142" s="158" t="n"/>
      <c r="B142" s="158" t="n"/>
      <c r="C142" s="158" t="n"/>
      <c r="D142" s="158" t="n"/>
      <c r="E142" s="158" t="n"/>
      <c r="F142" s="158" t="n"/>
      <c r="G142" s="153" t="n"/>
      <c r="H142" s="158" t="n"/>
      <c r="I142" s="158" t="n"/>
      <c r="J142" s="153" t="n"/>
      <c r="K142" s="158" t="n"/>
      <c r="L142" s="153" t="n"/>
      <c r="M142" s="158" t="n"/>
      <c r="N142" s="153" t="n"/>
      <c r="O142" s="158" t="n"/>
      <c r="P142" s="153" t="n"/>
    </row>
    <row r="143" customFormat="1" s="170">
      <c r="A143" s="158" t="n"/>
      <c r="B143" s="158" t="n"/>
      <c r="C143" s="158" t="n"/>
      <c r="D143" s="158" t="n"/>
      <c r="E143" s="158" t="n"/>
      <c r="F143" s="158" t="n"/>
      <c r="G143" s="153" t="n"/>
      <c r="H143" s="158" t="n"/>
      <c r="I143" s="158" t="n"/>
      <c r="J143" s="153" t="n"/>
      <c r="K143" s="158" t="n"/>
      <c r="L143" s="153" t="n"/>
      <c r="M143" s="158" t="n"/>
      <c r="N143" s="153" t="n"/>
      <c r="O143" s="158" t="n"/>
      <c r="P143" s="153" t="n"/>
    </row>
    <row r="144" customFormat="1" s="170">
      <c r="A144" s="158" t="n"/>
      <c r="B144" s="158" t="n"/>
      <c r="C144" s="158" t="n"/>
      <c r="D144" s="158" t="n"/>
      <c r="E144" s="158" t="n"/>
      <c r="F144" s="158" t="n"/>
      <c r="G144" s="153" t="n"/>
      <c r="H144" s="158" t="n"/>
      <c r="I144" s="158" t="n"/>
      <c r="J144" s="153" t="n"/>
      <c r="K144" s="158" t="n"/>
      <c r="L144" s="153" t="n"/>
      <c r="M144" s="158" t="n"/>
      <c r="N144" s="153" t="n"/>
      <c r="O144" s="158" t="n"/>
      <c r="P144" s="153" t="n"/>
    </row>
    <row r="145" customFormat="1" s="170">
      <c r="G145" s="42" t="n"/>
      <c r="J145" s="42" t="n"/>
      <c r="L145" s="42" t="n"/>
      <c r="P145" s="42" t="n"/>
    </row>
    <row r="146" customFormat="1" s="170">
      <c r="G146" s="42" t="n"/>
      <c r="J146" s="42" t="n"/>
      <c r="L146" s="42" t="n"/>
      <c r="P146" s="42" t="n"/>
    </row>
    <row r="147" customFormat="1" s="170">
      <c r="G147" s="42" t="n"/>
      <c r="J147" s="42" t="n"/>
      <c r="L147" s="42" t="n"/>
      <c r="P147" s="42" t="n"/>
    </row>
    <row r="148" customFormat="1" s="170">
      <c r="G148" s="42" t="n"/>
      <c r="J148" s="42" t="n"/>
      <c r="L148" s="42" t="n"/>
      <c r="P148" s="42" t="n"/>
    </row>
    <row r="149" customFormat="1" s="170">
      <c r="G149" s="42" t="n"/>
      <c r="J149" s="42" t="n"/>
      <c r="L149" s="42" t="n"/>
      <c r="P149" s="42" t="n"/>
    </row>
    <row r="150" customFormat="1" s="170">
      <c r="G150" s="42" t="n"/>
      <c r="J150" s="42" t="n"/>
      <c r="L150" s="42" t="n"/>
      <c r="P150" s="42" t="n"/>
    </row>
    <row r="151" customFormat="1" s="170">
      <c r="G151" s="42" t="n"/>
      <c r="J151" s="42" t="n"/>
      <c r="L151" s="42" t="n"/>
      <c r="P151" s="42" t="n"/>
    </row>
    <row r="152" customFormat="1" s="170">
      <c r="G152" s="42" t="n"/>
      <c r="J152" s="42" t="n"/>
      <c r="L152" s="42" t="n"/>
      <c r="P152" s="42" t="n"/>
    </row>
    <row r="153" customFormat="1" s="170">
      <c r="G153" s="42" t="n"/>
      <c r="J153" s="42" t="n"/>
      <c r="L153" s="42" t="n"/>
      <c r="P153" s="42" t="n"/>
    </row>
    <row r="154" customFormat="1" s="170">
      <c r="G154" s="42" t="n"/>
      <c r="J154" s="42" t="n"/>
      <c r="L154" s="42" t="n"/>
      <c r="P154" s="42" t="n"/>
    </row>
    <row r="155" customFormat="1" s="170">
      <c r="G155" s="42" t="n"/>
      <c r="J155" s="42" t="n"/>
      <c r="L155" s="42" t="n"/>
      <c r="P155" s="42" t="n"/>
    </row>
    <row r="156" customFormat="1" s="170">
      <c r="G156" s="42" t="n"/>
      <c r="J156" s="42" t="n"/>
      <c r="L156" s="42" t="n"/>
      <c r="P156" s="42" t="n"/>
    </row>
  </sheetData>
  <mergeCells count="1">
    <mergeCell ref="J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zoomScale="250" zoomScaleNormal="250" workbookViewId="0">
      <selection activeCell="E3" sqref="E3"/>
    </sheetView>
  </sheetViews>
  <sheetFormatPr baseColWidth="10" defaultRowHeight="14.5"/>
  <cols>
    <col width="7.81640625" bestFit="1" customWidth="1" style="192" min="1" max="3"/>
    <col width="8.1796875" bestFit="1" customWidth="1" style="192" min="4" max="4"/>
    <col width="6.90625" bestFit="1" customWidth="1" style="192" min="5" max="5"/>
    <col width="10.1796875" bestFit="1" customWidth="1" style="192" min="6" max="6"/>
    <col width="5" bestFit="1" customWidth="1" style="192" min="7" max="7"/>
  </cols>
  <sheetData>
    <row r="1" ht="18.5" customHeight="1" s="192">
      <c r="A1" s="199" t="inlineStr">
        <is>
          <t>CALCULAR €/m2 DE TABLERO</t>
        </is>
      </c>
      <c r="B1" s="198" t="n"/>
      <c r="C1" s="198" t="n"/>
      <c r="D1" s="198" t="n"/>
      <c r="E1" s="195" t="n"/>
    </row>
    <row r="2">
      <c r="A2" s="91" t="inlineStr">
        <is>
          <t>Largo m</t>
        </is>
      </c>
      <c r="B2" s="91" t="inlineStr">
        <is>
          <t>Ancho m</t>
        </is>
      </c>
      <c r="C2" s="91" t="inlineStr">
        <is>
          <t>m2</t>
        </is>
      </c>
      <c r="D2" s="91" t="inlineStr">
        <is>
          <t>€ Tablero</t>
        </is>
      </c>
      <c r="E2" s="91" t="inlineStr">
        <is>
          <t>€/m2</t>
        </is>
      </c>
    </row>
    <row r="3">
      <c r="A3" s="97" t="n">
        <v>2.8</v>
      </c>
      <c r="B3" s="97" t="n">
        <v>2.07</v>
      </c>
      <c r="C3" s="98">
        <f>A3*B3</f>
        <v/>
      </c>
      <c r="D3" s="97" t="n">
        <v>106.2</v>
      </c>
      <c r="E3" s="96">
        <f>D3/C3</f>
        <v/>
      </c>
      <c r="F3" s="93" t="n"/>
      <c r="G3" s="93" t="n">
        <v>6.89</v>
      </c>
      <c r="H3" t="n">
        <v>33</v>
      </c>
      <c r="I3" s="93" t="n">
        <v>4.61</v>
      </c>
    </row>
    <row r="4">
      <c r="A4" s="95" t="n"/>
      <c r="B4" s="94" t="n"/>
      <c r="C4" s="94" t="n"/>
      <c r="D4" s="94" t="n"/>
      <c r="E4" s="94" t="n"/>
      <c r="F4" s="93" t="n"/>
      <c r="G4" s="93" t="n"/>
    </row>
    <row r="5" ht="18.5" customHeight="1" s="192">
      <c r="A5" s="186" t="inlineStr">
        <is>
          <t>CALCULAR €/m2 DE CORTE</t>
        </is>
      </c>
      <c r="B5" s="198" t="n"/>
      <c r="C5" s="198" t="n"/>
      <c r="D5" s="198" t="n"/>
      <c r="E5" s="198" t="n"/>
      <c r="F5" s="198" t="n"/>
      <c r="G5" s="195" t="n"/>
    </row>
    <row r="6">
      <c r="A6" s="92" t="inlineStr">
        <is>
          <t>Tableros</t>
        </is>
      </c>
      <c r="B6" s="92" t="inlineStr">
        <is>
          <t>Largo m</t>
        </is>
      </c>
      <c r="C6" s="92" t="inlineStr">
        <is>
          <t>Ancho m</t>
        </is>
      </c>
      <c r="D6" s="92" t="inlineStr">
        <is>
          <t xml:space="preserve">m2 </t>
        </is>
      </c>
      <c r="E6" s="92" t="inlineStr">
        <is>
          <t>m2 TOT</t>
        </is>
      </c>
      <c r="F6" s="92" t="inlineStr">
        <is>
          <t>€ TOT Corte</t>
        </is>
      </c>
      <c r="G6" s="92" t="inlineStr">
        <is>
          <t>€/m2</t>
        </is>
      </c>
    </row>
    <row r="7">
      <c r="A7" s="88" t="n">
        <v>8</v>
      </c>
      <c r="B7" s="88" t="n">
        <v>2.44</v>
      </c>
      <c r="C7" s="88" t="n">
        <v>1.22</v>
      </c>
      <c r="D7" s="90">
        <f>B7*C7</f>
        <v/>
      </c>
      <c r="E7" s="90">
        <f>D7*A7</f>
        <v/>
      </c>
      <c r="F7" s="88" t="n">
        <v>25</v>
      </c>
      <c r="G7" s="89">
        <f>F7/E7</f>
        <v/>
      </c>
    </row>
    <row r="8"/>
    <row r="9" ht="18.5" customHeight="1" s="192">
      <c r="A9" s="199" t="inlineStr">
        <is>
          <t>CALCULAR € TABLERO</t>
        </is>
      </c>
      <c r="B9" s="198" t="n"/>
      <c r="C9" s="198" t="n"/>
      <c r="D9" s="198" t="n"/>
      <c r="E9" s="195" t="n"/>
    </row>
    <row r="10">
      <c r="A10" s="91" t="inlineStr">
        <is>
          <t>Largo m</t>
        </is>
      </c>
      <c r="B10" s="91" t="inlineStr">
        <is>
          <t>Ancho m</t>
        </is>
      </c>
      <c r="C10" s="91" t="inlineStr">
        <is>
          <t>m2</t>
        </is>
      </c>
      <c r="D10" s="91" t="inlineStr">
        <is>
          <t>€ Tablero</t>
        </is>
      </c>
      <c r="E10" s="91" t="inlineStr">
        <is>
          <t>€/m2</t>
        </is>
      </c>
    </row>
    <row r="11">
      <c r="A11" s="88" t="n">
        <v>2.8</v>
      </c>
      <c r="B11" s="88" t="n">
        <v>2.07</v>
      </c>
      <c r="C11" s="90">
        <f>A11*B11</f>
        <v/>
      </c>
      <c r="D11" s="89">
        <f>C11*E11</f>
        <v/>
      </c>
      <c r="E11" s="88" t="n">
        <v>5.07</v>
      </c>
    </row>
  </sheetData>
  <mergeCells count="3">
    <mergeCell ref="A1:E1"/>
    <mergeCell ref="A9:E9"/>
    <mergeCell ref="A5:G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192" min="1" max="1"/>
    <col width="110" customWidth="1" style="192" min="2" max="2"/>
  </cols>
  <sheetData>
    <row r="1">
      <c r="A1" s="200" t="inlineStr">
        <is>
          <t>ARCHIVO SEGURO PARA IMPORTACIÓN</t>
        </is>
      </c>
    </row>
    <row r="2">
      <c r="A2" s="201" t="inlineStr">
        <is>
          <t>Este libro conserva intactas las hojas originales y añade hojas planas para lectura segura por scripts o bases de datos.</t>
        </is>
      </c>
    </row>
    <row r="3">
      <c r="A3" s="201" t="inlineStr">
        <is>
          <t>Hojas originales conservadas</t>
        </is>
      </c>
      <c r="B3" s="202" t="inlineStr">
        <is>
          <t xml:space="preserve">PRESUPUESTO, COSTE, COMPARATIVA, CALCULADORA </t>
        </is>
      </c>
    </row>
    <row r="4">
      <c r="A4" s="201" t="inlineStr">
        <is>
          <t>Hoja recomendada para tu app</t>
        </is>
      </c>
      <c r="B4" s="202" t="inlineStr">
        <is>
          <t>CATALOGO_IMPORT</t>
        </is>
      </c>
    </row>
    <row r="5">
      <c r="A5" s="201" t="inlineStr">
        <is>
          <t>Qué contiene CATALOGO_IMPORT</t>
        </is>
      </c>
      <c r="B5" s="202" t="inlineStr">
        <is>
          <t>Una fila por partida/opción del PRESUPUESTO, sin celdas combinadas y con columnas fijas.</t>
        </is>
      </c>
    </row>
    <row r="6">
      <c r="A6" s="201" t="inlineStr">
        <is>
          <t>Precio recomendado para importar</t>
        </is>
      </c>
      <c r="B6" s="202" t="inlineStr">
        <is>
          <t>unit_price_base</t>
        </is>
      </c>
    </row>
    <row r="7">
      <c r="A7" s="201" t="inlineStr">
        <is>
          <t>Clave de familia recomendada</t>
        </is>
      </c>
      <c r="B7" s="202" t="inlineStr">
        <is>
          <t>family_key</t>
        </is>
      </c>
    </row>
    <row r="8">
      <c r="A8" s="201" t="inlineStr">
        <is>
          <t>Clave única de item recomendada</t>
        </is>
      </c>
      <c r="B8" s="202" t="inlineStr">
        <is>
          <t>item_key</t>
        </is>
      </c>
    </row>
    <row r="9">
      <c r="A9" s="201" t="inlineStr">
        <is>
          <t>Trazabilidad</t>
        </is>
      </c>
      <c r="B9" s="202" t="inlineStr">
        <is>
          <t>Cada fila guarda source_sheet y source_row para volver al origen exacto.</t>
        </is>
      </c>
    </row>
    <row r="10">
      <c r="A10" s="201" t="inlineStr">
        <is>
          <t>Notas</t>
        </is>
      </c>
      <c r="B10" s="202" t="inlineStr">
        <is>
          <t>Las fórmulas del original se mantienen en sus hojas. Las hojas *_IMPORT usan valores planos para que la lectura sea robusta.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style="192" min="1" max="1"/>
    <col width="12" customWidth="1" style="192" min="2" max="2"/>
    <col width="20" customWidth="1" style="192" min="3" max="3"/>
    <col width="40" customWidth="1" style="192" min="4" max="4"/>
    <col width="13" customWidth="1" style="192" min="5" max="5"/>
    <col width="40" customWidth="1" style="192" min="6" max="6"/>
    <col width="13" customWidth="1" style="192" min="7" max="7"/>
    <col width="12" customWidth="1" style="192" min="8" max="8"/>
    <col width="27" customWidth="1" style="192" min="9" max="9"/>
    <col width="40" customWidth="1" style="192" min="10" max="10"/>
    <col width="40" customWidth="1" style="192" min="11" max="11"/>
    <col width="14" customWidth="1" style="192" min="12" max="12"/>
    <col width="14" customWidth="1" style="192" min="13" max="13"/>
    <col width="14" customWidth="1" style="192" min="14" max="14"/>
    <col width="14" customWidth="1" style="192" min="15" max="15"/>
    <col width="16" customWidth="1" style="192" min="16" max="16"/>
    <col width="13" customWidth="1" style="192" min="17" max="17"/>
    <col width="20" customWidth="1" style="192" min="18" max="18"/>
    <col width="20" customWidth="1" style="192" min="19" max="19"/>
    <col width="17" customWidth="1" style="192" min="20" max="20"/>
    <col width="30" customWidth="1" style="192" min="21" max="21"/>
    <col width="13" customWidth="1" style="192" min="22" max="22"/>
    <col width="20" customWidth="1" style="192" min="23" max="23"/>
    <col width="40" customWidth="1" style="192" min="24" max="24"/>
    <col width="22" customWidth="1" style="192" min="25" max="25"/>
    <col width="38" customWidth="1" style="192" min="26" max="26"/>
    <col width="16" customWidth="1" style="192" min="27" max="27"/>
    <col width="16" customWidth="1" style="192" min="28" max="28"/>
    <col width="15" customWidth="1" style="192" min="29" max="29"/>
    <col width="22" customWidth="1" style="192" min="30" max="30"/>
  </cols>
  <sheetData>
    <row r="1">
      <c r="A1" s="200" t="inlineStr">
        <is>
          <t>CATÁLOGO NORMALIZADO DESDE PRESUPUESTO</t>
        </is>
      </c>
    </row>
    <row r="2">
      <c r="A2" s="203" t="inlineStr">
        <is>
          <t>source_sheet</t>
        </is>
      </c>
      <c r="B2" s="203" t="inlineStr">
        <is>
          <t>source_row</t>
        </is>
      </c>
      <c r="C2" s="203" t="inlineStr">
        <is>
          <t>section_header_row</t>
        </is>
      </c>
      <c r="D2" s="203" t="inlineStr">
        <is>
          <t>section_title</t>
        </is>
      </c>
      <c r="E2" s="203" t="inlineStr">
        <is>
          <t>family_key</t>
        </is>
      </c>
      <c r="F2" s="203" t="inlineStr">
        <is>
          <t>item_key</t>
        </is>
      </c>
      <c r="G2" s="203" t="inlineStr">
        <is>
          <t>family</t>
        </is>
      </c>
      <c r="H2" s="203" t="inlineStr">
        <is>
          <t>subfamily</t>
        </is>
      </c>
      <c r="I2" s="203" t="inlineStr">
        <is>
          <t>material</t>
        </is>
      </c>
      <c r="J2" s="203" t="inlineStr">
        <is>
          <t>item_name</t>
        </is>
      </c>
      <c r="K2" s="203" t="inlineStr">
        <is>
          <t>comments</t>
        </is>
      </c>
      <c r="L2" s="203" t="inlineStr">
        <is>
          <t>input1_label</t>
        </is>
      </c>
      <c r="M2" s="203" t="inlineStr">
        <is>
          <t>input2_label</t>
        </is>
      </c>
      <c r="N2" s="203" t="inlineStr">
        <is>
          <t>input3_label</t>
        </is>
      </c>
      <c r="O2" s="203" t="inlineStr">
        <is>
          <t>measure_unit</t>
        </is>
      </c>
      <c r="P2" s="203" t="inlineStr">
        <is>
          <t>quantity_label</t>
        </is>
      </c>
      <c r="Q2" s="203" t="inlineStr">
        <is>
          <t>price_label</t>
        </is>
      </c>
      <c r="R2" s="203" t="inlineStr">
        <is>
          <t>unit_price_base</t>
        </is>
      </c>
      <c r="S2" s="203" t="inlineStr">
        <is>
          <t>unit_price_raw</t>
        </is>
      </c>
      <c r="T2" s="203" t="inlineStr">
        <is>
          <t>measure_current</t>
        </is>
      </c>
      <c r="U2" s="203" t="inlineStr">
        <is>
          <t>measure_formula</t>
        </is>
      </c>
      <c r="V2" s="203" t="inlineStr">
        <is>
          <t>qty_current</t>
        </is>
      </c>
      <c r="W2" s="203" t="inlineStr">
        <is>
          <t>real_price_current</t>
        </is>
      </c>
      <c r="X2" s="203" t="inlineStr">
        <is>
          <t>real_price_formula</t>
        </is>
      </c>
      <c r="Y2" s="203" t="inlineStr">
        <is>
          <t>company_cost_current</t>
        </is>
      </c>
      <c r="Z2" s="203" t="inlineStr">
        <is>
          <t>company_cost_formula</t>
        </is>
      </c>
      <c r="AA2" s="203" t="inlineStr">
        <is>
          <t>markup_current</t>
        </is>
      </c>
      <c r="AB2" s="203" t="inlineStr">
        <is>
          <t>markup_formula</t>
        </is>
      </c>
      <c r="AC2" s="203" t="inlineStr">
        <is>
          <t>total_current</t>
        </is>
      </c>
      <c r="AD2" s="203" t="inlineStr">
        <is>
          <t>total_formula</t>
        </is>
      </c>
    </row>
    <row r="3">
      <c r="A3" s="202" t="inlineStr">
        <is>
          <t>PRESUPUESTO</t>
        </is>
      </c>
      <c r="B3" s="204" t="n">
        <v>5</v>
      </c>
      <c r="C3" s="204" t="n">
        <v>4</v>
      </c>
      <c r="D3" s="202" t="inlineStr">
        <is>
          <t>TARIMA</t>
        </is>
      </c>
      <c r="E3" s="202" t="inlineStr">
        <is>
          <t>tarima</t>
        </is>
      </c>
      <c r="F3" s="202" t="inlineStr">
        <is>
          <t>tarima_suelo_aglomerado_reciclado_tarima_con_moqueta</t>
        </is>
      </c>
      <c r="G3" s="202" t="inlineStr">
        <is>
          <t>Tarima</t>
        </is>
      </c>
      <c r="H3" s="202" t="inlineStr">
        <is>
          <t>Suelo</t>
        </is>
      </c>
      <c r="I3" s="202" t="inlineStr">
        <is>
          <t>Aglomerado Reciclado</t>
        </is>
      </c>
      <c r="J3" s="202" t="inlineStr">
        <is>
          <t>Tarima con Moqueta</t>
        </is>
      </c>
      <c r="K3" s="202" t="n"/>
      <c r="L3" s="202" t="inlineStr">
        <is>
          <t xml:space="preserve">Largo </t>
        </is>
      </c>
      <c r="M3" s="202" t="inlineStr">
        <is>
          <t>Ancho</t>
        </is>
      </c>
      <c r="N3" s="202" t="n"/>
      <c r="O3" s="202" t="inlineStr">
        <is>
          <t>m2</t>
        </is>
      </c>
      <c r="P3" s="202" t="inlineStr">
        <is>
          <t>UDS</t>
        </is>
      </c>
      <c r="Q3" s="205" t="inlineStr">
        <is>
          <t>€/m2</t>
        </is>
      </c>
      <c r="R3" s="205" t="n">
        <v>7.77</v>
      </c>
      <c r="S3" s="205" t="n">
        <v>7.77</v>
      </c>
      <c r="T3" s="202" t="n">
        <v>0</v>
      </c>
      <c r="U3" s="202">
        <f>F5*G5</f>
        <v/>
      </c>
      <c r="V3" s="202" t="n">
        <v>0</v>
      </c>
      <c r="W3" s="205" t="n">
        <v>0</v>
      </c>
      <c r="X3" s="205">
        <f>IFERROR(ROUNDUP((Q5/I5)/0.5,0)*0.5,0)</f>
        <v/>
      </c>
      <c r="Y3" s="205" t="n">
        <v>0</v>
      </c>
      <c r="Z3" s="205">
        <f>IF(I5=0,J5*K5,I5*J5*K5)</f>
        <v/>
      </c>
      <c r="AA3" s="205" t="n">
        <v>1</v>
      </c>
      <c r="AB3" s="205">
        <f>$N$14</f>
        <v/>
      </c>
      <c r="AC3" s="205" t="n">
        <v>0</v>
      </c>
      <c r="AD3" s="205">
        <f>SUM(M5*N5)+M5</f>
        <v/>
      </c>
    </row>
    <row r="4">
      <c r="A4" s="202" t="inlineStr">
        <is>
          <t>PRESUPUESTO</t>
        </is>
      </c>
      <c r="B4" s="204" t="n">
        <v>6</v>
      </c>
      <c r="C4" s="204" t="n">
        <v>4</v>
      </c>
      <c r="D4" s="202" t="inlineStr">
        <is>
          <t>TARIMA</t>
        </is>
      </c>
      <c r="E4" s="202" t="inlineStr">
        <is>
          <t>tarima</t>
        </is>
      </c>
      <c r="F4" s="202" t="inlineStr">
        <is>
          <t>tarima_suelo_melamina_reciclado_tarima_melamina_reciclada</t>
        </is>
      </c>
      <c r="G4" s="202" t="inlineStr">
        <is>
          <t>Tarima</t>
        </is>
      </c>
      <c r="H4" s="202" t="inlineStr">
        <is>
          <t>Suelo</t>
        </is>
      </c>
      <c r="I4" s="202" t="inlineStr">
        <is>
          <t>Melamina Reciclado</t>
        </is>
      </c>
      <c r="J4" s="202" t="inlineStr">
        <is>
          <t>Tarima Melamina Reciclada</t>
        </is>
      </c>
      <c r="K4" s="202" t="n"/>
      <c r="L4" s="202" t="inlineStr">
        <is>
          <t xml:space="preserve">Largo </t>
        </is>
      </c>
      <c r="M4" s="202" t="inlineStr">
        <is>
          <t>Ancho</t>
        </is>
      </c>
      <c r="N4" s="202" t="n"/>
      <c r="O4" s="202" t="inlineStr">
        <is>
          <t>m2</t>
        </is>
      </c>
      <c r="P4" s="202" t="inlineStr">
        <is>
          <t>UDS</t>
        </is>
      </c>
      <c r="Q4" s="205" t="inlineStr">
        <is>
          <t>€/m2</t>
        </is>
      </c>
      <c r="R4" s="205" t="n">
        <v>22</v>
      </c>
      <c r="S4" s="205" t="n">
        <v>22</v>
      </c>
      <c r="T4" s="202" t="n">
        <v>0</v>
      </c>
      <c r="U4" s="202">
        <f>F6*G6</f>
        <v/>
      </c>
      <c r="V4" s="202" t="n">
        <v>0</v>
      </c>
      <c r="W4" s="205" t="n">
        <v>0</v>
      </c>
      <c r="X4" s="205">
        <f>IFERROR(ROUNDUP((Q6/I6)/0.5,0)*0.5,0)</f>
        <v/>
      </c>
      <c r="Y4" s="205" t="n">
        <v>0</v>
      </c>
      <c r="Z4" s="205">
        <f>IF(I6=0,J6*K6,I6*J6*K6)</f>
        <v/>
      </c>
      <c r="AA4" s="205" t="n">
        <v>1</v>
      </c>
      <c r="AB4" s="205">
        <f>$N$14</f>
        <v/>
      </c>
      <c r="AC4" s="205" t="n">
        <v>0</v>
      </c>
      <c r="AD4" s="205">
        <f>SUM(M6*N6)+M6</f>
        <v/>
      </c>
    </row>
    <row r="5">
      <c r="A5" s="202" t="inlineStr">
        <is>
          <t>PRESUPUESTO</t>
        </is>
      </c>
      <c r="B5" s="204" t="n">
        <v>7</v>
      </c>
      <c r="C5" s="204" t="n">
        <v>4</v>
      </c>
      <c r="D5" s="202" t="inlineStr">
        <is>
          <t>TARIMA</t>
        </is>
      </c>
      <c r="E5" s="202" t="inlineStr">
        <is>
          <t>tarima</t>
        </is>
      </c>
      <c r="F5" s="202" t="inlineStr">
        <is>
          <t>tarima_suelo_melamina_tarima_melamina_nueva</t>
        </is>
      </c>
      <c r="G5" s="202" t="inlineStr">
        <is>
          <t>Tarima</t>
        </is>
      </c>
      <c r="H5" s="202" t="inlineStr">
        <is>
          <t>Suelo</t>
        </is>
      </c>
      <c r="I5" s="202" t="inlineStr">
        <is>
          <t>Melamina</t>
        </is>
      </c>
      <c r="J5" s="202" t="inlineStr">
        <is>
          <t>Tarima Melamina Nueva</t>
        </is>
      </c>
      <c r="K5" s="202" t="inlineStr">
        <is>
          <t>*New</t>
        </is>
      </c>
      <c r="L5" s="202" t="inlineStr">
        <is>
          <t xml:space="preserve">Largo </t>
        </is>
      </c>
      <c r="M5" s="202" t="inlineStr">
        <is>
          <t>Ancho</t>
        </is>
      </c>
      <c r="N5" s="202" t="n"/>
      <c r="O5" s="202" t="inlineStr">
        <is>
          <t>m2</t>
        </is>
      </c>
      <c r="P5" s="202" t="inlineStr">
        <is>
          <t>UDS</t>
        </is>
      </c>
      <c r="Q5" s="205" t="inlineStr">
        <is>
          <t>€/m2</t>
        </is>
      </c>
      <c r="R5" s="205" t="n">
        <v>30</v>
      </c>
      <c r="S5" s="205" t="n">
        <v>30</v>
      </c>
      <c r="T5" s="202" t="n">
        <v>0</v>
      </c>
      <c r="U5" s="202">
        <f>F7*G7</f>
        <v/>
      </c>
      <c r="V5" s="202" t="n">
        <v>0</v>
      </c>
      <c r="W5" s="205" t="n">
        <v>0</v>
      </c>
      <c r="X5" s="205">
        <f>IFERROR(ROUNDUP((Q7/I7)/0.5,0)*0.5,0)</f>
        <v/>
      </c>
      <c r="Y5" s="205" t="n">
        <v>0</v>
      </c>
      <c r="Z5" s="205">
        <f>IF(I7=0,J7*K7,I7*J7*K7)</f>
        <v/>
      </c>
      <c r="AA5" s="205" t="n">
        <v>1</v>
      </c>
      <c r="AB5" s="205">
        <f>$N$14</f>
        <v/>
      </c>
      <c r="AC5" s="205" t="n">
        <v>0</v>
      </c>
      <c r="AD5" s="205">
        <f>SUM(M7*N7)+M7</f>
        <v/>
      </c>
    </row>
    <row r="6">
      <c r="A6" s="202" t="inlineStr">
        <is>
          <t>PRESUPUESTO</t>
        </is>
      </c>
      <c r="B6" s="204" t="n">
        <v>8</v>
      </c>
      <c r="C6" s="204" t="n">
        <v>4</v>
      </c>
      <c r="D6" s="202" t="inlineStr">
        <is>
          <t>TARIMA</t>
        </is>
      </c>
      <c r="E6" s="202" t="inlineStr">
        <is>
          <t>tarima</t>
        </is>
      </c>
      <c r="F6" s="202" t="inlineStr">
        <is>
          <t>tarima_suelo_melamina_especial_tarima_melamina_especial</t>
        </is>
      </c>
      <c r="G6" s="202" t="inlineStr">
        <is>
          <t>Tarima</t>
        </is>
      </c>
      <c r="H6" s="202" t="inlineStr">
        <is>
          <t>Suelo</t>
        </is>
      </c>
      <c r="I6" s="202" t="inlineStr">
        <is>
          <t>Melamina Especial</t>
        </is>
      </c>
      <c r="J6" s="202" t="inlineStr">
        <is>
          <t>Tarima Melamina Especial</t>
        </is>
      </c>
      <c r="K6" s="202" t="n"/>
      <c r="L6" s="202" t="inlineStr">
        <is>
          <t xml:space="preserve">Largo </t>
        </is>
      </c>
      <c r="M6" s="202" t="inlineStr">
        <is>
          <t>Ancho</t>
        </is>
      </c>
      <c r="N6" s="202" t="n"/>
      <c r="O6" s="202" t="inlineStr">
        <is>
          <t>m2</t>
        </is>
      </c>
      <c r="P6" s="202" t="inlineStr">
        <is>
          <t>UDS</t>
        </is>
      </c>
      <c r="Q6" s="205" t="inlineStr">
        <is>
          <t>€/m2</t>
        </is>
      </c>
      <c r="R6" s="205" t="n">
        <v>32.58</v>
      </c>
      <c r="S6" s="205" t="n">
        <v>32.58</v>
      </c>
      <c r="T6" s="202" t="n">
        <v>0</v>
      </c>
      <c r="U6" s="202">
        <f>F8*G8</f>
        <v/>
      </c>
      <c r="V6" s="202" t="n">
        <v>0</v>
      </c>
      <c r="W6" s="205" t="n">
        <v>0</v>
      </c>
      <c r="X6" s="205">
        <f>IFERROR(ROUNDUP((Q8/I8)/0.5,0)*0.5,0)</f>
        <v/>
      </c>
      <c r="Y6" s="205" t="n">
        <v>0</v>
      </c>
      <c r="Z6" s="205">
        <f>IF(I8=0,J8*K8,I8*J8*K8)</f>
        <v/>
      </c>
      <c r="AA6" s="205" t="n">
        <v>1</v>
      </c>
      <c r="AB6" s="205">
        <f>$N$14</f>
        <v/>
      </c>
      <c r="AC6" s="205" t="n">
        <v>0</v>
      </c>
      <c r="AD6" s="205">
        <f>SUM(M8*N8)+M8</f>
        <v/>
      </c>
    </row>
    <row r="7">
      <c r="A7" s="202" t="inlineStr">
        <is>
          <t>PRESUPUESTO</t>
        </is>
      </c>
      <c r="B7" s="204" t="n">
        <v>10</v>
      </c>
      <c r="C7" s="204" t="n">
        <v>9</v>
      </c>
      <c r="D7" s="202" t="inlineStr">
        <is>
          <t>TARIMA - RAMPA</t>
        </is>
      </c>
      <c r="E7" s="202" t="inlineStr">
        <is>
          <t>tarima</t>
        </is>
      </c>
      <c r="F7" s="202" t="inlineStr">
        <is>
          <t>tarima_rampa_tarima_rampa_estandar_1x1</t>
        </is>
      </c>
      <c r="G7" s="202" t="inlineStr">
        <is>
          <t>Tarima</t>
        </is>
      </c>
      <c r="H7" s="202" t="inlineStr">
        <is>
          <t>Rampa</t>
        </is>
      </c>
      <c r="I7" s="202" t="inlineStr">
        <is>
          <t>Tarima</t>
        </is>
      </c>
      <c r="J7" s="202" t="inlineStr">
        <is>
          <t>Rampa (Estandar 1x1)</t>
        </is>
      </c>
      <c r="K7" s="202" t="inlineStr">
        <is>
          <t xml:space="preserve">*El coste rampa lo pondria siempre igual por m2 ya que el valor del material esta en la tarima </t>
        </is>
      </c>
      <c r="L7" s="202" t="inlineStr">
        <is>
          <t>Fondo</t>
        </is>
      </c>
      <c r="M7" s="202" t="inlineStr">
        <is>
          <t>Ancho</t>
        </is>
      </c>
      <c r="N7" s="202" t="n"/>
      <c r="O7" s="202" t="inlineStr">
        <is>
          <t>m2</t>
        </is>
      </c>
      <c r="P7" s="202" t="inlineStr">
        <is>
          <t>UDS</t>
        </is>
      </c>
      <c r="Q7" s="205" t="inlineStr">
        <is>
          <t>€/m2</t>
        </is>
      </c>
      <c r="R7" s="205" t="n">
        <v>28</v>
      </c>
      <c r="S7" s="205" t="n">
        <v>28</v>
      </c>
      <c r="T7" s="202" t="n">
        <v>0</v>
      </c>
      <c r="U7" s="202">
        <f>F10*G10</f>
        <v/>
      </c>
      <c r="V7" s="202" t="n">
        <v>0</v>
      </c>
      <c r="W7" s="205" t="n">
        <v>0</v>
      </c>
      <c r="X7" s="205">
        <f>IFERROR(ROUNDUP((Q10/I10)/0.5,0)*0.5,0)</f>
        <v/>
      </c>
      <c r="Y7" s="205" t="n">
        <v>0</v>
      </c>
      <c r="Z7" s="205">
        <f>IF(I10=0,J10*K10,I10*J10*K10)</f>
        <v/>
      </c>
      <c r="AA7" s="205" t="n">
        <v>1</v>
      </c>
      <c r="AB7" s="205">
        <f>$N$14</f>
        <v/>
      </c>
      <c r="AC7" s="205" t="n">
        <v>0</v>
      </c>
      <c r="AD7" s="205">
        <f>SUM(M10*N10)+M10</f>
        <v/>
      </c>
    </row>
    <row r="8">
      <c r="A8" s="202" t="inlineStr">
        <is>
          <t>PRESUPUESTO</t>
        </is>
      </c>
      <c r="B8" s="204" t="n">
        <v>12</v>
      </c>
      <c r="C8" s="204" t="n">
        <v>11</v>
      </c>
      <c r="D8" s="202" t="inlineStr">
        <is>
          <t xml:space="preserve">TARIMA - REGATA LED </t>
        </is>
      </c>
      <c r="E8" s="202" t="inlineStr">
        <is>
          <t>tarima</t>
        </is>
      </c>
      <c r="F8" s="202" t="inlineStr">
        <is>
          <t>tarima_proceso_regata_regata_led_recta</t>
        </is>
      </c>
      <c r="G8" s="202" t="inlineStr">
        <is>
          <t>Tarima</t>
        </is>
      </c>
      <c r="H8" s="202" t="inlineStr">
        <is>
          <t>Proceso</t>
        </is>
      </c>
      <c r="I8" s="202" t="inlineStr">
        <is>
          <t>Regata</t>
        </is>
      </c>
      <c r="J8" s="202" t="inlineStr">
        <is>
          <t>Regata Led Recta</t>
        </is>
      </c>
      <c r="K8" s="202" t="n"/>
      <c r="L8" s="202" t="n"/>
      <c r="M8" s="202" t="n"/>
      <c r="N8" s="202" t="n"/>
      <c r="O8" s="202" t="inlineStr">
        <is>
          <t>ml</t>
        </is>
      </c>
      <c r="P8" s="202" t="inlineStr">
        <is>
          <t>UDS</t>
        </is>
      </c>
      <c r="Q8" s="205" t="inlineStr">
        <is>
          <t>€/ml</t>
        </is>
      </c>
      <c r="R8" s="205" t="n">
        <v>5</v>
      </c>
      <c r="S8" s="205" t="n">
        <v>5</v>
      </c>
      <c r="T8" s="202" t="n">
        <v>0</v>
      </c>
      <c r="U8" s="202" t="n"/>
      <c r="V8" s="202" t="n">
        <v>0</v>
      </c>
      <c r="W8" s="205" t="n">
        <v>0</v>
      </c>
      <c r="X8" s="205">
        <f>IFERROR(ROUNDUP((Q12/I12)/0.5,0)*0.5,0)</f>
        <v/>
      </c>
      <c r="Y8" s="205" t="n">
        <v>0</v>
      </c>
      <c r="Z8" s="205">
        <f>IF(I12=0,J12*K12,I12*J12*K12)</f>
        <v/>
      </c>
      <c r="AA8" s="205" t="n">
        <v>1</v>
      </c>
      <c r="AB8" s="205">
        <f>$N$14</f>
        <v/>
      </c>
      <c r="AC8" s="205" t="n">
        <v>0</v>
      </c>
      <c r="AD8" s="205">
        <f>SUM(M12*N12)+M12</f>
        <v/>
      </c>
    </row>
    <row r="9">
      <c r="A9" s="202" t="inlineStr">
        <is>
          <t>PRESUPUESTO</t>
        </is>
      </c>
      <c r="B9" s="204" t="n">
        <v>13</v>
      </c>
      <c r="C9" s="204" t="n">
        <v>11</v>
      </c>
      <c r="D9" s="202" t="inlineStr">
        <is>
          <t xml:space="preserve">TARIMA - REGATA LED </t>
        </is>
      </c>
      <c r="E9" s="202" t="inlineStr">
        <is>
          <t>tarima</t>
        </is>
      </c>
      <c r="F9" s="202" t="inlineStr">
        <is>
          <t>tarima_proceso_regata_regata_led_diagonal_o_curva</t>
        </is>
      </c>
      <c r="G9" s="202" t="inlineStr">
        <is>
          <t>Tarima</t>
        </is>
      </c>
      <c r="H9" s="202" t="inlineStr">
        <is>
          <t>Proceso</t>
        </is>
      </c>
      <c r="I9" s="202" t="inlineStr">
        <is>
          <t>Regata</t>
        </is>
      </c>
      <c r="J9" s="202" t="inlineStr">
        <is>
          <t>Regata Led Diagonal o Curva</t>
        </is>
      </c>
      <c r="K9" s="202" t="n"/>
      <c r="L9" s="202" t="n"/>
      <c r="M9" s="202" t="n"/>
      <c r="N9" s="202" t="n"/>
      <c r="O9" s="202" t="inlineStr">
        <is>
          <t>ml</t>
        </is>
      </c>
      <c r="P9" s="202" t="inlineStr">
        <is>
          <t>UDS</t>
        </is>
      </c>
      <c r="Q9" s="205" t="inlineStr">
        <is>
          <t>€/ml</t>
        </is>
      </c>
      <c r="R9" s="205" t="n">
        <v>10</v>
      </c>
      <c r="S9" s="205" t="n">
        <v>10</v>
      </c>
      <c r="T9" s="202" t="n">
        <v>0</v>
      </c>
      <c r="U9" s="202" t="n"/>
      <c r="V9" s="202" t="n">
        <v>0</v>
      </c>
      <c r="W9" s="205" t="n">
        <v>0</v>
      </c>
      <c r="X9" s="205">
        <f>IFERROR(ROUNDUP((Q13/I13)/0.5,0)*0.5,0)</f>
        <v/>
      </c>
      <c r="Y9" s="205" t="n">
        <v>0</v>
      </c>
      <c r="Z9" s="205">
        <f>IF(I13=0,J13*K13,I13*J13*K13)</f>
        <v/>
      </c>
      <c r="AA9" s="205" t="n">
        <v>1</v>
      </c>
      <c r="AB9" s="205">
        <f>$N$14</f>
        <v/>
      </c>
      <c r="AC9" s="205" t="n">
        <v>0</v>
      </c>
      <c r="AD9" s="205">
        <f>SUM(M13*N13)+M13</f>
        <v/>
      </c>
    </row>
    <row r="10">
      <c r="A10" s="202" t="inlineStr">
        <is>
          <t>PRESUPUESTO</t>
        </is>
      </c>
      <c r="B10" s="204" t="n">
        <v>16</v>
      </c>
      <c r="C10" s="204" t="n">
        <v>15</v>
      </c>
      <c r="D10" s="202" t="inlineStr">
        <is>
          <t>MURO</t>
        </is>
      </c>
      <c r="E10" s="202" t="inlineStr">
        <is>
          <t>muro</t>
        </is>
      </c>
      <c r="F10" s="202" t="inlineStr">
        <is>
          <t>muro_paredes_aglomerado_1_cara_grosor_estandar_0_1m_altura_2_75m</t>
        </is>
      </c>
      <c r="G10" s="202" t="inlineStr">
        <is>
          <t>Muro</t>
        </is>
      </c>
      <c r="H10" s="202" t="inlineStr">
        <is>
          <t>Paredes</t>
        </is>
      </c>
      <c r="I10" s="202" t="inlineStr">
        <is>
          <t>Aglomerado</t>
        </is>
      </c>
      <c r="J10" s="202" t="inlineStr">
        <is>
          <t>1 Cara (Grosor Estandar 0,1m / Altura 2,75m)</t>
        </is>
      </c>
      <c r="K10" s="202" t="inlineStr">
        <is>
          <t>*El grosor se pone en el excel</t>
        </is>
      </c>
      <c r="L10" s="202" t="inlineStr">
        <is>
          <t>Largo</t>
        </is>
      </c>
      <c r="M10" s="202" t="inlineStr">
        <is>
          <t>Altura</t>
        </is>
      </c>
      <c r="N10" s="202" t="inlineStr">
        <is>
          <t>Grosor</t>
        </is>
      </c>
      <c r="O10" s="202" t="inlineStr">
        <is>
          <t>m2</t>
        </is>
      </c>
      <c r="P10" s="202" t="inlineStr">
        <is>
          <t>UDS</t>
        </is>
      </c>
      <c r="Q10" s="205" t="inlineStr">
        <is>
          <t>€/m2</t>
        </is>
      </c>
      <c r="R10" s="205" t="n">
        <v>14</v>
      </c>
      <c r="S10" s="205" t="n">
        <v>14</v>
      </c>
      <c r="T10" s="202" t="n">
        <v>0</v>
      </c>
      <c r="U10" s="202">
        <f>F16*G16</f>
        <v/>
      </c>
      <c r="V10" s="202" t="n">
        <v>0</v>
      </c>
      <c r="W10" s="205" t="n">
        <v>0</v>
      </c>
      <c r="X10" s="205">
        <f>IFERROR(ROUNDUP((Q16/I16)/0.5,0)*0.5,0)</f>
        <v/>
      </c>
      <c r="Y10" s="205" t="n">
        <v>0</v>
      </c>
      <c r="Z10" s="205">
        <f>IF(I16=0,J16*K16,I16*J16*K16)</f>
        <v/>
      </c>
      <c r="AA10" s="205" t="n">
        <v>1</v>
      </c>
      <c r="AB10" s="205">
        <f>$N$46</f>
        <v/>
      </c>
      <c r="AC10" s="205" t="n">
        <v>0</v>
      </c>
      <c r="AD10" s="205">
        <f>SUM(M16*N16)+M16</f>
        <v/>
      </c>
    </row>
    <row r="11">
      <c r="A11" s="202" t="inlineStr">
        <is>
          <t>PRESUPUESTO</t>
        </is>
      </c>
      <c r="B11" s="204" t="n">
        <v>17</v>
      </c>
      <c r="C11" s="204" t="n">
        <v>15</v>
      </c>
      <c r="D11" s="202" t="inlineStr">
        <is>
          <t>MURO</t>
        </is>
      </c>
      <c r="E11" s="202" t="inlineStr">
        <is>
          <t>muro</t>
        </is>
      </c>
      <c r="F11" s="202" t="inlineStr">
        <is>
          <t>muro_paredes_aglomerado_2_cara_grosor_estandar_0_1m_altura_2_75m</t>
        </is>
      </c>
      <c r="G11" s="202" t="inlineStr">
        <is>
          <t>Muro</t>
        </is>
      </c>
      <c r="H11" s="202" t="inlineStr">
        <is>
          <t>Paredes</t>
        </is>
      </c>
      <c r="I11" s="202" t="inlineStr">
        <is>
          <t>Aglomerado</t>
        </is>
      </c>
      <c r="J11" s="202" t="inlineStr">
        <is>
          <t>2 Cara (Grosor Estandar 0,1m / Altura 2,75m)</t>
        </is>
      </c>
      <c r="K11" s="202" t="inlineStr">
        <is>
          <t>*El grosor se pone en el excel</t>
        </is>
      </c>
      <c r="L11" s="202" t="inlineStr">
        <is>
          <t>Largo</t>
        </is>
      </c>
      <c r="M11" s="202" t="inlineStr">
        <is>
          <t>Altura</t>
        </is>
      </c>
      <c r="N11" s="202" t="inlineStr">
        <is>
          <t>Grosor</t>
        </is>
      </c>
      <c r="O11" s="202" t="inlineStr">
        <is>
          <t>m2</t>
        </is>
      </c>
      <c r="P11" s="202" t="inlineStr">
        <is>
          <t>UDS</t>
        </is>
      </c>
      <c r="Q11" s="205" t="inlineStr">
        <is>
          <t>€/m2</t>
        </is>
      </c>
      <c r="R11" s="205" t="n">
        <v>22</v>
      </c>
      <c r="S11" s="205" t="n">
        <v>22</v>
      </c>
      <c r="T11" s="202" t="n">
        <v>0</v>
      </c>
      <c r="U11" s="202">
        <f>F17*G17</f>
        <v/>
      </c>
      <c r="V11" s="202" t="n">
        <v>0</v>
      </c>
      <c r="W11" s="205" t="n">
        <v>0</v>
      </c>
      <c r="X11" s="205">
        <f>IFERROR(ROUNDUP((Q17/I17)/0.5,0)*0.5,0)</f>
        <v/>
      </c>
      <c r="Y11" s="205" t="n">
        <v>0</v>
      </c>
      <c r="Z11" s="205">
        <f>IF(I17=0,J17*K17,I17*J17*K17)</f>
        <v/>
      </c>
      <c r="AA11" s="205" t="n">
        <v>1</v>
      </c>
      <c r="AB11" s="205">
        <f>$N$46</f>
        <v/>
      </c>
      <c r="AC11" s="205" t="n">
        <v>0</v>
      </c>
      <c r="AD11" s="205">
        <f>SUM(M17*N17)+M17</f>
        <v/>
      </c>
    </row>
    <row r="12">
      <c r="A12" s="202" t="inlineStr">
        <is>
          <t>PRESUPUESTO</t>
        </is>
      </c>
      <c r="B12" s="204" t="n">
        <v>18</v>
      </c>
      <c r="C12" s="204" t="n">
        <v>15</v>
      </c>
      <c r="D12" s="202" t="inlineStr">
        <is>
          <t>MURO</t>
        </is>
      </c>
      <c r="E12" s="202" t="inlineStr">
        <is>
          <t>muro</t>
        </is>
      </c>
      <c r="F12" s="202" t="inlineStr">
        <is>
          <t>muro_paredes_mdf_1_cara_grosor_estandar_0_1m_altura_2_75m</t>
        </is>
      </c>
      <c r="G12" s="202" t="inlineStr">
        <is>
          <t>Muro</t>
        </is>
      </c>
      <c r="H12" s="202" t="inlineStr">
        <is>
          <t>Paredes</t>
        </is>
      </c>
      <c r="I12" s="202" t="inlineStr">
        <is>
          <t>MDF</t>
        </is>
      </c>
      <c r="J12" s="202" t="inlineStr">
        <is>
          <t>1 Cara (Grosor Estandar 0,1m / Altura 2,75m)</t>
        </is>
      </c>
      <c r="K12" s="202" t="inlineStr">
        <is>
          <t>*El grosor se pone en el excel</t>
        </is>
      </c>
      <c r="L12" s="202" t="inlineStr">
        <is>
          <t>Largo</t>
        </is>
      </c>
      <c r="M12" s="202" t="inlineStr">
        <is>
          <t>Altura</t>
        </is>
      </c>
      <c r="N12" s="202" t="inlineStr">
        <is>
          <t>Grosor</t>
        </is>
      </c>
      <c r="O12" s="202" t="inlineStr">
        <is>
          <t>m2</t>
        </is>
      </c>
      <c r="P12" s="202" t="inlineStr">
        <is>
          <t>UDS</t>
        </is>
      </c>
      <c r="Q12" s="205" t="inlineStr">
        <is>
          <t>€/m2</t>
        </is>
      </c>
      <c r="R12" s="205" t="n">
        <v>21</v>
      </c>
      <c r="S12" s="205" t="n">
        <v>21</v>
      </c>
      <c r="T12" s="202" t="n">
        <v>0</v>
      </c>
      <c r="U12" s="202">
        <f>F18*G18</f>
        <v/>
      </c>
      <c r="V12" s="202" t="n">
        <v>0</v>
      </c>
      <c r="W12" s="205" t="n">
        <v>0</v>
      </c>
      <c r="X12" s="205">
        <f>IFERROR(ROUNDUP((Q18/I18)/0.5,0)*0.5,0)</f>
        <v/>
      </c>
      <c r="Y12" s="205" t="n">
        <v>0</v>
      </c>
      <c r="Z12" s="205">
        <f>IF(I18=0,J18*K18,I18*J18*K18)</f>
        <v/>
      </c>
      <c r="AA12" s="205" t="n">
        <v>1</v>
      </c>
      <c r="AB12" s="205">
        <f>$N$46</f>
        <v/>
      </c>
      <c r="AC12" s="205" t="n">
        <v>0</v>
      </c>
      <c r="AD12" s="205">
        <f>SUM(M18*N18)+M18</f>
        <v/>
      </c>
    </row>
    <row r="13">
      <c r="A13" s="202" t="inlineStr">
        <is>
          <t>PRESUPUESTO</t>
        </is>
      </c>
      <c r="B13" s="204" t="n">
        <v>19</v>
      </c>
      <c r="C13" s="204" t="n">
        <v>15</v>
      </c>
      <c r="D13" s="202" t="inlineStr">
        <is>
          <t>MURO</t>
        </is>
      </c>
      <c r="E13" s="202" t="inlineStr">
        <is>
          <t>muro</t>
        </is>
      </c>
      <c r="F13" s="202" t="inlineStr">
        <is>
          <t>muro_paredes_mdf_2_cara_grosor_estandar_0_1m_altura_2_75m</t>
        </is>
      </c>
      <c r="G13" s="202" t="inlineStr">
        <is>
          <t>Muro</t>
        </is>
      </c>
      <c r="H13" s="202" t="inlineStr">
        <is>
          <t>Paredes</t>
        </is>
      </c>
      <c r="I13" s="202" t="inlineStr">
        <is>
          <t>MDF</t>
        </is>
      </c>
      <c r="J13" s="202" t="inlineStr">
        <is>
          <t>2 Cara (Grosor Estandar 0,1m/ Altura 2,75m)</t>
        </is>
      </c>
      <c r="K13" s="202" t="inlineStr">
        <is>
          <t>*El grosor se pone en el excel</t>
        </is>
      </c>
      <c r="L13" s="202" t="inlineStr">
        <is>
          <t>Largo</t>
        </is>
      </c>
      <c r="M13" s="202" t="inlineStr">
        <is>
          <t>Altura</t>
        </is>
      </c>
      <c r="N13" s="202" t="inlineStr">
        <is>
          <t>Grosor</t>
        </is>
      </c>
      <c r="O13" s="202" t="inlineStr">
        <is>
          <t>m2</t>
        </is>
      </c>
      <c r="P13" s="202" t="inlineStr">
        <is>
          <t>UDS</t>
        </is>
      </c>
      <c r="Q13" s="205" t="inlineStr">
        <is>
          <t>€/m2</t>
        </is>
      </c>
      <c r="R13" s="205" t="n">
        <v>34</v>
      </c>
      <c r="S13" s="205" t="n">
        <v>34</v>
      </c>
      <c r="T13" s="202" t="n">
        <v>0</v>
      </c>
      <c r="U13" s="202">
        <f>F19*G19</f>
        <v/>
      </c>
      <c r="V13" s="202" t="n">
        <v>0</v>
      </c>
      <c r="W13" s="205" t="n">
        <v>0</v>
      </c>
      <c r="X13" s="205">
        <f>IFERROR(ROUNDUP((Q19/I19)/0.5,0)*0.5,0)</f>
        <v/>
      </c>
      <c r="Y13" s="205" t="n">
        <v>0</v>
      </c>
      <c r="Z13" s="205">
        <f>IF(I19=0,J19*K19,I19*J19*K19)</f>
        <v/>
      </c>
      <c r="AA13" s="205" t="n">
        <v>1</v>
      </c>
      <c r="AB13" s="205">
        <f>$N$46</f>
        <v/>
      </c>
      <c r="AC13" s="205" t="n">
        <v>0</v>
      </c>
      <c r="AD13" s="205">
        <f>SUM(M19*N19)+M19</f>
        <v/>
      </c>
    </row>
    <row r="14">
      <c r="A14" s="202" t="inlineStr">
        <is>
          <t>PRESUPUESTO</t>
        </is>
      </c>
      <c r="B14" s="204" t="n">
        <v>20</v>
      </c>
      <c r="C14" s="204" t="n">
        <v>15</v>
      </c>
      <c r="D14" s="202" t="inlineStr">
        <is>
          <t>MURO</t>
        </is>
      </c>
      <c r="E14" s="202" t="inlineStr">
        <is>
          <t>muro</t>
        </is>
      </c>
      <c r="F14" s="202" t="inlineStr">
        <is>
          <t>muro_paredes_melamina_1_cara_grosor_estandar_0_1m_altura_2_75m</t>
        </is>
      </c>
      <c r="G14" s="202" t="inlineStr">
        <is>
          <t>Muro</t>
        </is>
      </c>
      <c r="H14" s="202" t="inlineStr">
        <is>
          <t>Paredes</t>
        </is>
      </c>
      <c r="I14" s="202" t="inlineStr">
        <is>
          <t>Melamina</t>
        </is>
      </c>
      <c r="J14" s="202" t="inlineStr">
        <is>
          <t>1 Cara (Grosor Estandar 0,1m / Altura 2,75m)</t>
        </is>
      </c>
      <c r="K14" s="202" t="inlineStr">
        <is>
          <t>*El grosor se pone en el excel</t>
        </is>
      </c>
      <c r="L14" s="202" t="inlineStr">
        <is>
          <t>Largo</t>
        </is>
      </c>
      <c r="M14" s="202" t="inlineStr">
        <is>
          <t>Altura</t>
        </is>
      </c>
      <c r="N14" s="202" t="inlineStr">
        <is>
          <t>Grosor</t>
        </is>
      </c>
      <c r="O14" s="202" t="inlineStr">
        <is>
          <t>m2</t>
        </is>
      </c>
      <c r="P14" s="202" t="inlineStr">
        <is>
          <t>UDS</t>
        </is>
      </c>
      <c r="Q14" s="205" t="inlineStr">
        <is>
          <t>€/m2</t>
        </is>
      </c>
      <c r="R14" s="205" t="n">
        <v>15</v>
      </c>
      <c r="S14" s="205" t="n">
        <v>15</v>
      </c>
      <c r="T14" s="202" t="n">
        <v>0</v>
      </c>
      <c r="U14" s="202">
        <f>F20*G20</f>
        <v/>
      </c>
      <c r="V14" s="202" t="n">
        <v>0</v>
      </c>
      <c r="W14" s="205" t="n">
        <v>0</v>
      </c>
      <c r="X14" s="205">
        <f>IFERROR(ROUNDUP((Q20/I20)/0.5,0)*0.5,0)</f>
        <v/>
      </c>
      <c r="Y14" s="205" t="n">
        <v>0</v>
      </c>
      <c r="Z14" s="205">
        <f>IF(I20=0,J20*K20,I20*J20*K20)</f>
        <v/>
      </c>
      <c r="AA14" s="205" t="n">
        <v>1</v>
      </c>
      <c r="AB14" s="205">
        <f>$N$46</f>
        <v/>
      </c>
      <c r="AC14" s="205" t="n">
        <v>0</v>
      </c>
      <c r="AD14" s="205">
        <f>SUM(M20*N20)+M20</f>
        <v/>
      </c>
    </row>
    <row r="15">
      <c r="A15" s="202" t="inlineStr">
        <is>
          <t>PRESUPUESTO</t>
        </is>
      </c>
      <c r="B15" s="204" t="n">
        <v>21</v>
      </c>
      <c r="C15" s="204" t="n">
        <v>15</v>
      </c>
      <c r="D15" s="202" t="inlineStr">
        <is>
          <t>MURO</t>
        </is>
      </c>
      <c r="E15" s="202" t="inlineStr">
        <is>
          <t>muro</t>
        </is>
      </c>
      <c r="F15" s="202" t="inlineStr">
        <is>
          <t>muro_paredes_melamina_2_cara_grosor_estandar_0_1m_altura_2_75m</t>
        </is>
      </c>
      <c r="G15" s="202" t="inlineStr">
        <is>
          <t>Muro</t>
        </is>
      </c>
      <c r="H15" s="202" t="inlineStr">
        <is>
          <t>Paredes</t>
        </is>
      </c>
      <c r="I15" s="202" t="inlineStr">
        <is>
          <t>Melamina</t>
        </is>
      </c>
      <c r="J15" s="202" t="inlineStr">
        <is>
          <t>2 Cara (Grosor Estandar 0,1m / Altura 2,75m)</t>
        </is>
      </c>
      <c r="K15" s="202" t="inlineStr">
        <is>
          <t>*El grosor se pone en el excel</t>
        </is>
      </c>
      <c r="L15" s="202" t="inlineStr">
        <is>
          <t>Largo</t>
        </is>
      </c>
      <c r="M15" s="202" t="inlineStr">
        <is>
          <t>Altura</t>
        </is>
      </c>
      <c r="N15" s="202" t="inlineStr">
        <is>
          <t>Grosor</t>
        </is>
      </c>
      <c r="O15" s="202" t="inlineStr">
        <is>
          <t>m2</t>
        </is>
      </c>
      <c r="P15" s="202" t="inlineStr">
        <is>
          <t>UDS</t>
        </is>
      </c>
      <c r="Q15" s="205" t="inlineStr">
        <is>
          <t>€/m2</t>
        </is>
      </c>
      <c r="R15" s="205" t="n">
        <v>25</v>
      </c>
      <c r="S15" s="205" t="n">
        <v>25</v>
      </c>
      <c r="T15" s="202" t="n">
        <v>0</v>
      </c>
      <c r="U15" s="202">
        <f>F21*G21</f>
        <v/>
      </c>
      <c r="V15" s="202" t="n">
        <v>0</v>
      </c>
      <c r="W15" s="205" t="n">
        <v>0</v>
      </c>
      <c r="X15" s="205">
        <f>IFERROR(ROUNDUP((Q21/I21)/0.5,0)*0.5,0)</f>
        <v/>
      </c>
      <c r="Y15" s="205" t="n">
        <v>0</v>
      </c>
      <c r="Z15" s="205">
        <f>IF(I21=0,J21*K21,I21*J21*K21)</f>
        <v/>
      </c>
      <c r="AA15" s="205" t="n">
        <v>1</v>
      </c>
      <c r="AB15" s="205">
        <f>$N$46</f>
        <v/>
      </c>
      <c r="AC15" s="205" t="n">
        <v>0</v>
      </c>
      <c r="AD15" s="205">
        <f>SUM(M21*N21)+M21</f>
        <v/>
      </c>
    </row>
    <row r="16">
      <c r="A16" s="202" t="inlineStr">
        <is>
          <t>PRESUPUESTO</t>
        </is>
      </c>
      <c r="B16" s="204" t="n">
        <v>22</v>
      </c>
      <c r="C16" s="204" t="n">
        <v>15</v>
      </c>
      <c r="D16" s="202" t="inlineStr">
        <is>
          <t>MURO</t>
        </is>
      </c>
      <c r="E16" s="202" t="inlineStr">
        <is>
          <t>muro</t>
        </is>
      </c>
      <c r="F16" s="202" t="inlineStr">
        <is>
          <t>muro_paredes_melamina_especial_chopo_1_cara_grosor_estandar_0_1m_altura_2_75m</t>
        </is>
      </c>
      <c r="G16" s="202" t="inlineStr">
        <is>
          <t>Muro</t>
        </is>
      </c>
      <c r="H16" s="202" t="inlineStr">
        <is>
          <t>Paredes</t>
        </is>
      </c>
      <c r="I16" s="202" t="inlineStr">
        <is>
          <t>Melamina Especial / Chopo</t>
        </is>
      </c>
      <c r="J16" s="202" t="inlineStr">
        <is>
          <t>1 Cara (Grosor Estandar 0,1m/ Altura 2,75m)</t>
        </is>
      </c>
      <c r="K16" s="202" t="inlineStr">
        <is>
          <t>*El grosor se pone en el excel</t>
        </is>
      </c>
      <c r="L16" s="202" t="inlineStr">
        <is>
          <t>Largo</t>
        </is>
      </c>
      <c r="M16" s="202" t="inlineStr">
        <is>
          <t>Altura</t>
        </is>
      </c>
      <c r="N16" s="202" t="inlineStr">
        <is>
          <t>Grosor</t>
        </is>
      </c>
      <c r="O16" s="202" t="inlineStr">
        <is>
          <t>m2</t>
        </is>
      </c>
      <c r="P16" s="202" t="inlineStr">
        <is>
          <t>UDS</t>
        </is>
      </c>
      <c r="Q16" s="205" t="inlineStr">
        <is>
          <t>€/m2</t>
        </is>
      </c>
      <c r="R16" s="205" t="n">
        <v>21</v>
      </c>
      <c r="S16" s="205" t="n">
        <v>21</v>
      </c>
      <c r="T16" s="202" t="n">
        <v>0</v>
      </c>
      <c r="U16" s="202">
        <f>F22*G22</f>
        <v/>
      </c>
      <c r="V16" s="202" t="n">
        <v>0</v>
      </c>
      <c r="W16" s="205" t="n">
        <v>0</v>
      </c>
      <c r="X16" s="205">
        <f>IFERROR(ROUNDUP((Q22/I22)/0.5,0)*0.5,0)</f>
        <v/>
      </c>
      <c r="Y16" s="205" t="n">
        <v>0</v>
      </c>
      <c r="Z16" s="205">
        <f>IF(I22=0,J22*K22,I22*J22*K22)</f>
        <v/>
      </c>
      <c r="AA16" s="205" t="n">
        <v>1</v>
      </c>
      <c r="AB16" s="205">
        <f>$N$46</f>
        <v/>
      </c>
      <c r="AC16" s="205" t="n">
        <v>0</v>
      </c>
      <c r="AD16" s="205">
        <f>SUM(M22*N22)+M22</f>
        <v/>
      </c>
    </row>
    <row r="17">
      <c r="A17" s="202" t="inlineStr">
        <is>
          <t>PRESUPUESTO</t>
        </is>
      </c>
      <c r="B17" s="204" t="n">
        <v>23</v>
      </c>
      <c r="C17" s="204" t="n">
        <v>15</v>
      </c>
      <c r="D17" s="202" t="inlineStr">
        <is>
          <t>MURO</t>
        </is>
      </c>
      <c r="E17" s="202" t="inlineStr">
        <is>
          <t>muro</t>
        </is>
      </c>
      <c r="F17" s="202" t="inlineStr">
        <is>
          <t>muro_paredes_melamina_especial_chopo_2_cara_grosor_estandar_0_1m_altura_2_75m</t>
        </is>
      </c>
      <c r="G17" s="202" t="inlineStr">
        <is>
          <t>Muro</t>
        </is>
      </c>
      <c r="H17" s="202" t="inlineStr">
        <is>
          <t>Paredes</t>
        </is>
      </c>
      <c r="I17" s="202" t="inlineStr">
        <is>
          <t>Melamina Especial / Chopo</t>
        </is>
      </c>
      <c r="J17" s="202" t="inlineStr">
        <is>
          <t>2 Cara (Grosor Estandar 0,1m/ Altura 2,75m)</t>
        </is>
      </c>
      <c r="K17" s="202" t="inlineStr">
        <is>
          <t>*El grosor se pone en el excel</t>
        </is>
      </c>
      <c r="L17" s="202" t="inlineStr">
        <is>
          <t>Largo</t>
        </is>
      </c>
      <c r="M17" s="202" t="inlineStr">
        <is>
          <t>Altura</t>
        </is>
      </c>
      <c r="N17" s="202" t="inlineStr">
        <is>
          <t>Grosor</t>
        </is>
      </c>
      <c r="O17" s="202" t="inlineStr">
        <is>
          <t>m2</t>
        </is>
      </c>
      <c r="P17" s="202" t="inlineStr">
        <is>
          <t>UDS</t>
        </is>
      </c>
      <c r="Q17" s="205" t="inlineStr">
        <is>
          <t>€/m2</t>
        </is>
      </c>
      <c r="R17" s="205" t="n">
        <v>36</v>
      </c>
      <c r="S17" s="205" t="n">
        <v>36</v>
      </c>
      <c r="T17" s="202" t="n">
        <v>0</v>
      </c>
      <c r="U17" s="202">
        <f>F23*G23</f>
        <v/>
      </c>
      <c r="V17" s="202" t="n">
        <v>0</v>
      </c>
      <c r="W17" s="205" t="n">
        <v>0</v>
      </c>
      <c r="X17" s="205">
        <f>IFERROR(ROUNDUP((Q23/I23)/0.5,0)*0.5,0)</f>
        <v/>
      </c>
      <c r="Y17" s="205" t="n">
        <v>0</v>
      </c>
      <c r="Z17" s="205">
        <f>IF(I23=0,J23*K23,I23*J23*K23)</f>
        <v/>
      </c>
      <c r="AA17" s="205" t="n">
        <v>1</v>
      </c>
      <c r="AB17" s="205">
        <f>$N$46</f>
        <v/>
      </c>
      <c r="AC17" s="205" t="n">
        <v>0</v>
      </c>
      <c r="AD17" s="205">
        <f>SUM(M23*N23)+M23</f>
        <v/>
      </c>
    </row>
    <row r="18">
      <c r="A18" s="202" t="inlineStr">
        <is>
          <t>PRESUPUESTO</t>
        </is>
      </c>
      <c r="B18" s="204" t="n">
        <v>25</v>
      </c>
      <c r="C18" s="204" t="n">
        <v>24</v>
      </c>
      <c r="D18" s="202" t="inlineStr">
        <is>
          <t>MURO - BMATRIX</t>
        </is>
      </c>
      <c r="E18" s="202" t="inlineStr">
        <is>
          <t>muro</t>
        </is>
      </c>
      <c r="F18" s="202" t="inlineStr">
        <is>
          <t>muro_paredes_bmatrix_alquiler_muro_bmatrix</t>
        </is>
      </c>
      <c r="G18" s="202" t="inlineStr">
        <is>
          <t>Muro</t>
        </is>
      </c>
      <c r="H18" s="202" t="inlineStr">
        <is>
          <t>Paredes</t>
        </is>
      </c>
      <c r="I18" s="202" t="inlineStr">
        <is>
          <t>Bmatrix</t>
        </is>
      </c>
      <c r="J18" s="202" t="inlineStr">
        <is>
          <t>Alquiler Muro Bmatrix</t>
        </is>
      </c>
      <c r="K18" s="202" t="inlineStr">
        <is>
          <t>*Modificar coste??</t>
        </is>
      </c>
      <c r="L18" s="202" t="inlineStr">
        <is>
          <t>Largo</t>
        </is>
      </c>
      <c r="M18" s="202" t="inlineStr">
        <is>
          <t>Altura</t>
        </is>
      </c>
      <c r="N18" s="202" t="inlineStr">
        <is>
          <t>Grosor</t>
        </is>
      </c>
      <c r="O18" s="202" t="inlineStr">
        <is>
          <t>m2</t>
        </is>
      </c>
      <c r="P18" s="202" t="inlineStr">
        <is>
          <t>UDS</t>
        </is>
      </c>
      <c r="Q18" s="205" t="inlineStr">
        <is>
          <t>€/m2</t>
        </is>
      </c>
      <c r="R18" s="205" t="n">
        <v>50</v>
      </c>
      <c r="S18" s="205" t="n">
        <v>50</v>
      </c>
      <c r="T18" s="202" t="n">
        <v>0</v>
      </c>
      <c r="U18" s="202">
        <f>F25*G25</f>
        <v/>
      </c>
      <c r="V18" s="202" t="n">
        <v>0</v>
      </c>
      <c r="W18" s="205" t="n">
        <v>0</v>
      </c>
      <c r="X18" s="205">
        <f>IFERROR(ROUNDUP((Q25/I25)/0.5,0)*0.5,0)</f>
        <v/>
      </c>
      <c r="Y18" s="205" t="n">
        <v>0</v>
      </c>
      <c r="Z18" s="205">
        <f>IF(I25=0,J25*K25,I25*J25*K25)</f>
        <v/>
      </c>
      <c r="AA18" s="205" t="n">
        <v>1</v>
      </c>
      <c r="AB18" s="205">
        <f>$N$46</f>
        <v/>
      </c>
      <c r="AC18" s="205" t="n">
        <v>0</v>
      </c>
      <c r="AD18" s="205">
        <f>SUM(M25*N25)+M25</f>
        <v/>
      </c>
    </row>
    <row r="19">
      <c r="A19" s="202" t="inlineStr">
        <is>
          <t>PRESUPUESTO</t>
        </is>
      </c>
      <c r="B19" s="204" t="n">
        <v>27</v>
      </c>
      <c r="C19" s="204" t="n">
        <v>26</v>
      </c>
      <c r="D19" s="202" t="inlineStr">
        <is>
          <t>MURO - PUERTA</t>
        </is>
      </c>
      <c r="E19" s="202" t="inlineStr">
        <is>
          <t>muro</t>
        </is>
      </c>
      <c r="F19" s="202" t="inlineStr">
        <is>
          <t>muro_puerta_pintar_puerta_maneta_codigo</t>
        </is>
      </c>
      <c r="G19" s="202" t="inlineStr">
        <is>
          <t>Muro</t>
        </is>
      </c>
      <c r="H19" s="202" t="inlineStr">
        <is>
          <t>Puerta</t>
        </is>
      </c>
      <c r="I19" s="202" t="inlineStr">
        <is>
          <t>Pintar</t>
        </is>
      </c>
      <c r="J19" s="202" t="inlineStr">
        <is>
          <t>Puerta + Maneta Codigo</t>
        </is>
      </c>
      <c r="K19" s="202" t="n"/>
      <c r="L19" s="202" t="n"/>
      <c r="M19" s="202" t="n"/>
      <c r="N19" s="202" t="n"/>
      <c r="O19" s="202" t="n"/>
      <c r="P19" s="202" t="inlineStr">
        <is>
          <t>UDS</t>
        </is>
      </c>
      <c r="Q19" s="205" t="inlineStr">
        <is>
          <t>€/Uni</t>
        </is>
      </c>
      <c r="R19" s="205" t="n">
        <v>85</v>
      </c>
      <c r="S19" s="205" t="n">
        <v>85</v>
      </c>
      <c r="T19" s="202" t="n"/>
      <c r="U19" s="202" t="n"/>
      <c r="V19" s="202" t="n">
        <v>0</v>
      </c>
      <c r="W19" s="205" t="n">
        <v>0</v>
      </c>
      <c r="X19" s="205">
        <f>IFERROR(ROUNDUP((Q27/J27)/0.5,0)*0.5,0)</f>
        <v/>
      </c>
      <c r="Y19" s="205" t="n">
        <v>0</v>
      </c>
      <c r="Z19" s="205">
        <f>IF(J27=0,J27*K27,J27*K27)</f>
        <v/>
      </c>
      <c r="AA19" s="205" t="n">
        <v>1</v>
      </c>
      <c r="AB19" s="205">
        <f>$N$46</f>
        <v/>
      </c>
      <c r="AC19" s="205" t="n">
        <v>0</v>
      </c>
      <c r="AD19" s="205">
        <f>SUM(M27*N27)+M27</f>
        <v/>
      </c>
    </row>
    <row r="20">
      <c r="A20" s="202" t="inlineStr">
        <is>
          <t>PRESUPUESTO</t>
        </is>
      </c>
      <c r="B20" s="204" t="n">
        <v>28</v>
      </c>
      <c r="C20" s="204" t="n">
        <v>26</v>
      </c>
      <c r="D20" s="202" t="inlineStr">
        <is>
          <t>MURO - PUERTA</t>
        </is>
      </c>
      <c r="E20" s="202" t="inlineStr">
        <is>
          <t>muro</t>
        </is>
      </c>
      <c r="F20" s="202" t="inlineStr">
        <is>
          <t>muro_puerta_pintar_puerta_maneta_normal</t>
        </is>
      </c>
      <c r="G20" s="202" t="inlineStr">
        <is>
          <t>Muro</t>
        </is>
      </c>
      <c r="H20" s="202" t="inlineStr">
        <is>
          <t>Puerta</t>
        </is>
      </c>
      <c r="I20" s="202" t="inlineStr">
        <is>
          <t>Pintar</t>
        </is>
      </c>
      <c r="J20" s="202" t="inlineStr">
        <is>
          <t>Puerta + Maneta Normal</t>
        </is>
      </c>
      <c r="K20" s="202" t="n"/>
      <c r="L20" s="202" t="n"/>
      <c r="M20" s="202" t="n"/>
      <c r="N20" s="202" t="n"/>
      <c r="O20" s="202" t="n"/>
      <c r="P20" s="202" t="inlineStr">
        <is>
          <t>UDS</t>
        </is>
      </c>
      <c r="Q20" s="205" t="inlineStr">
        <is>
          <t>€/Uni</t>
        </is>
      </c>
      <c r="R20" s="205" t="n">
        <v>65</v>
      </c>
      <c r="S20" s="205" t="n">
        <v>65</v>
      </c>
      <c r="T20" s="202" t="n"/>
      <c r="U20" s="202" t="n"/>
      <c r="V20" s="202" t="n">
        <v>0</v>
      </c>
      <c r="W20" s="205" t="n">
        <v>0</v>
      </c>
      <c r="X20" s="205">
        <f>IFERROR(ROUNDUP((Q28/J28)/0.5,0)*0.5,0)</f>
        <v/>
      </c>
      <c r="Y20" s="205" t="n">
        <v>0</v>
      </c>
      <c r="Z20" s="205">
        <f>IF(J28=0,J28*K28,J28*K28)</f>
        <v/>
      </c>
      <c r="AA20" s="205" t="n">
        <v>1</v>
      </c>
      <c r="AB20" s="205">
        <f>$N$46</f>
        <v/>
      </c>
      <c r="AC20" s="205" t="n">
        <v>0</v>
      </c>
      <c r="AD20" s="205">
        <f>SUM(M28*N28)+M28</f>
        <v/>
      </c>
    </row>
    <row r="21">
      <c r="A21" s="202" t="inlineStr">
        <is>
          <t>PRESUPUESTO</t>
        </is>
      </c>
      <c r="B21" s="204" t="n">
        <v>29</v>
      </c>
      <c r="C21" s="204" t="n">
        <v>26</v>
      </c>
      <c r="D21" s="202" t="inlineStr">
        <is>
          <t>MURO - PUERTA</t>
        </is>
      </c>
      <c r="E21" s="202" t="inlineStr">
        <is>
          <t>muro</t>
        </is>
      </c>
      <c r="F21" s="202" t="inlineStr">
        <is>
          <t>muro_puerta_blanco_lacado_puerta_melamina_1_cara_maneta_codigo</t>
        </is>
      </c>
      <c r="G21" s="202" t="inlineStr">
        <is>
          <t>Muro</t>
        </is>
      </c>
      <c r="H21" s="202" t="inlineStr">
        <is>
          <t>Puerta</t>
        </is>
      </c>
      <c r="I21" s="202" t="inlineStr">
        <is>
          <t>Blanco Lacado</t>
        </is>
      </c>
      <c r="J21" s="202" t="inlineStr">
        <is>
          <t>Puerta Melamina 1 cara + Maneta Codigo</t>
        </is>
      </c>
      <c r="K21" s="202" t="n"/>
      <c r="L21" s="202" t="n"/>
      <c r="M21" s="202" t="n"/>
      <c r="N21" s="202" t="n"/>
      <c r="O21" s="202" t="n"/>
      <c r="P21" s="202" t="inlineStr">
        <is>
          <t>UDS</t>
        </is>
      </c>
      <c r="Q21" s="205" t="inlineStr">
        <is>
          <t>€/Uni</t>
        </is>
      </c>
      <c r="R21" s="205" t="n">
        <v>300</v>
      </c>
      <c r="S21" s="205" t="n">
        <v>300</v>
      </c>
      <c r="T21" s="202" t="n"/>
      <c r="U21" s="202" t="n"/>
      <c r="V21" s="202" t="n">
        <v>0</v>
      </c>
      <c r="W21" s="205" t="n">
        <v>0</v>
      </c>
      <c r="X21" s="205">
        <f>IFERROR(ROUNDUP((Q29/J29)/0.5,0)*0.5,0)</f>
        <v/>
      </c>
      <c r="Y21" s="205" t="n">
        <v>0</v>
      </c>
      <c r="Z21" s="205">
        <f>IF(J29=0,J29*K29,J29*K29)</f>
        <v/>
      </c>
      <c r="AA21" s="205" t="n">
        <v>1</v>
      </c>
      <c r="AB21" s="205">
        <f>$N$46</f>
        <v/>
      </c>
      <c r="AC21" s="205" t="n">
        <v>0</v>
      </c>
      <c r="AD21" s="205">
        <f>SUM(M29*N29)+M29</f>
        <v/>
      </c>
    </row>
    <row r="22">
      <c r="A22" s="202" t="inlineStr">
        <is>
          <t>PRESUPUESTO</t>
        </is>
      </c>
      <c r="B22" s="204" t="n">
        <v>30</v>
      </c>
      <c r="C22" s="204" t="n">
        <v>26</v>
      </c>
      <c r="D22" s="202" t="inlineStr">
        <is>
          <t>MURO - PUERTA</t>
        </is>
      </c>
      <c r="E22" s="202" t="inlineStr">
        <is>
          <t>muro</t>
        </is>
      </c>
      <c r="F22" s="202" t="inlineStr">
        <is>
          <t>muro_puerta_blanco_lacado_puerta_melamina_1_cara_maneta_normal</t>
        </is>
      </c>
      <c r="G22" s="202" t="inlineStr">
        <is>
          <t>Muro</t>
        </is>
      </c>
      <c r="H22" s="202" t="inlineStr">
        <is>
          <t>Puerta</t>
        </is>
      </c>
      <c r="I22" s="202" t="inlineStr">
        <is>
          <t>Blanco Lacado</t>
        </is>
      </c>
      <c r="J22" s="202" t="inlineStr">
        <is>
          <t>Puerta Melamina 1 cara + Maneta Normal</t>
        </is>
      </c>
      <c r="K22" s="202" t="n"/>
      <c r="L22" s="202" t="n"/>
      <c r="M22" s="202" t="n"/>
      <c r="N22" s="202" t="n"/>
      <c r="O22" s="202" t="n"/>
      <c r="P22" s="202" t="inlineStr">
        <is>
          <t>UDS</t>
        </is>
      </c>
      <c r="Q22" s="205" t="inlineStr">
        <is>
          <t>€/Uni</t>
        </is>
      </c>
      <c r="R22" s="205" t="n">
        <v>300</v>
      </c>
      <c r="S22" s="205" t="n">
        <v>300</v>
      </c>
      <c r="T22" s="202" t="n"/>
      <c r="U22" s="202" t="n"/>
      <c r="V22" s="202" t="n">
        <v>0</v>
      </c>
      <c r="W22" s="205" t="n">
        <v>0</v>
      </c>
      <c r="X22" s="205">
        <f>IFERROR(ROUNDUP((Q30/J30)/0.5,0)*0.5,0)</f>
        <v/>
      </c>
      <c r="Y22" s="205" t="n">
        <v>0</v>
      </c>
      <c r="Z22" s="205">
        <f>IF(J30=0,J30*K30,J30*K30)</f>
        <v/>
      </c>
      <c r="AA22" s="205" t="n">
        <v>1</v>
      </c>
      <c r="AB22" s="205">
        <f>$N$46</f>
        <v/>
      </c>
      <c r="AC22" s="205" t="n">
        <v>0</v>
      </c>
      <c r="AD22" s="205">
        <f>SUM(M30*N30)+M30</f>
        <v/>
      </c>
    </row>
    <row r="23">
      <c r="A23" s="202" t="inlineStr">
        <is>
          <t>PRESUPUESTO</t>
        </is>
      </c>
      <c r="B23" s="204" t="n">
        <v>31</v>
      </c>
      <c r="C23" s="204" t="n">
        <v>26</v>
      </c>
      <c r="D23" s="202" t="inlineStr">
        <is>
          <t>MURO - PUERTA</t>
        </is>
      </c>
      <c r="E23" s="202" t="inlineStr">
        <is>
          <t>muro</t>
        </is>
      </c>
      <c r="F23" s="202" t="inlineStr">
        <is>
          <t>muro_puerta_chopo_puerta_para_pintar_a_medida_maneta_codigo</t>
        </is>
      </c>
      <c r="G23" s="202" t="inlineStr">
        <is>
          <t>Muro</t>
        </is>
      </c>
      <c r="H23" s="202" t="inlineStr">
        <is>
          <t>Puerta</t>
        </is>
      </c>
      <c r="I23" s="202" t="inlineStr">
        <is>
          <t>Chopo</t>
        </is>
      </c>
      <c r="J23" s="202" t="inlineStr">
        <is>
          <t>Puerta para Pintar a Medida + Maneta Codigo</t>
        </is>
      </c>
      <c r="K23" s="202" t="inlineStr">
        <is>
          <t>*New</t>
        </is>
      </c>
      <c r="L23" s="202" t="n"/>
      <c r="M23" s="202" t="n"/>
      <c r="N23" s="202" t="n"/>
      <c r="O23" s="202" t="n"/>
      <c r="P23" s="202" t="inlineStr">
        <is>
          <t>UDS</t>
        </is>
      </c>
      <c r="Q23" s="205" t="inlineStr">
        <is>
          <t>€/Uni</t>
        </is>
      </c>
      <c r="R23" s="205" t="n">
        <v>257</v>
      </c>
      <c r="S23" s="205" t="n">
        <v>257</v>
      </c>
      <c r="T23" s="202" t="n"/>
      <c r="U23" s="202" t="n"/>
      <c r="V23" s="202" t="n">
        <v>0</v>
      </c>
      <c r="W23" s="205" t="n">
        <v>0</v>
      </c>
      <c r="X23" s="205">
        <f>IFERROR(ROUNDUP((Q31/J31)/0.5,0)*0.5,0)</f>
        <v/>
      </c>
      <c r="Y23" s="205" t="n">
        <v>0</v>
      </c>
      <c r="Z23" s="205">
        <f>IF(J31=0,J31*K31,J31*K31)</f>
        <v/>
      </c>
      <c r="AA23" s="205" t="n">
        <v>1</v>
      </c>
      <c r="AB23" s="205">
        <f>$N$46</f>
        <v/>
      </c>
      <c r="AC23" s="205" t="n">
        <v>0</v>
      </c>
      <c r="AD23" s="205">
        <f>SUM(M31*N31)+M31</f>
        <v/>
      </c>
    </row>
    <row r="24">
      <c r="A24" s="202" t="inlineStr">
        <is>
          <t>PRESUPUESTO</t>
        </is>
      </c>
      <c r="B24" s="204" t="n">
        <v>32</v>
      </c>
      <c r="C24" s="204" t="n">
        <v>26</v>
      </c>
      <c r="D24" s="202" t="inlineStr">
        <is>
          <t>MURO - PUERTA</t>
        </is>
      </c>
      <c r="E24" s="202" t="inlineStr">
        <is>
          <t>muro</t>
        </is>
      </c>
      <c r="F24" s="202" t="inlineStr">
        <is>
          <t>muro_puerta_chopo_puerta_para_pintar_a_medida_maneta_normal</t>
        </is>
      </c>
      <c r="G24" s="202" t="inlineStr">
        <is>
          <t>Muro</t>
        </is>
      </c>
      <c r="H24" s="202" t="inlineStr">
        <is>
          <t>Puerta</t>
        </is>
      </c>
      <c r="I24" s="202" t="inlineStr">
        <is>
          <t>Chopo</t>
        </is>
      </c>
      <c r="J24" s="202" t="inlineStr">
        <is>
          <t>Puerta para Pintar a Medida + Maneta Normal</t>
        </is>
      </c>
      <c r="K24" s="202" t="inlineStr">
        <is>
          <t>*New</t>
        </is>
      </c>
      <c r="L24" s="202" t="n"/>
      <c r="M24" s="202" t="n"/>
      <c r="N24" s="202" t="n"/>
      <c r="O24" s="202" t="n"/>
      <c r="P24" s="202" t="inlineStr">
        <is>
          <t>UDS</t>
        </is>
      </c>
      <c r="Q24" s="205" t="inlineStr">
        <is>
          <t>€/Uni</t>
        </is>
      </c>
      <c r="R24" s="205" t="n">
        <v>233</v>
      </c>
      <c r="S24" s="205" t="n">
        <v>233</v>
      </c>
      <c r="T24" s="202" t="n"/>
      <c r="U24" s="202" t="n"/>
      <c r="V24" s="202" t="n">
        <v>0</v>
      </c>
      <c r="W24" s="205" t="n">
        <v>0</v>
      </c>
      <c r="X24" s="205">
        <f>IFERROR(ROUNDUP((Q32/J32)/0.5,0)*0.5,0)</f>
        <v/>
      </c>
      <c r="Y24" s="205" t="n">
        <v>0</v>
      </c>
      <c r="Z24" s="205">
        <f>IF(J32=0,J32*K32,J32*K32)</f>
        <v/>
      </c>
      <c r="AA24" s="205" t="n">
        <v>1</v>
      </c>
      <c r="AB24" s="205">
        <f>$N$46</f>
        <v/>
      </c>
      <c r="AC24" s="205" t="n">
        <v>0</v>
      </c>
      <c r="AD24" s="205">
        <f>SUM(M32*N32)+M32</f>
        <v/>
      </c>
    </row>
    <row r="25">
      <c r="A25" s="202" t="inlineStr">
        <is>
          <t>PRESUPUESTO</t>
        </is>
      </c>
      <c r="B25" s="204" t="n">
        <v>33</v>
      </c>
      <c r="C25" s="204" t="n">
        <v>26</v>
      </c>
      <c r="D25" s="202" t="inlineStr">
        <is>
          <t>MURO - PUERTA</t>
        </is>
      </c>
      <c r="E25" s="202" t="inlineStr">
        <is>
          <t>muro</t>
        </is>
      </c>
      <c r="F25" s="202" t="inlineStr">
        <is>
          <t>muro_puerta_melamina_puerta_melamina_a_medida_maneta_codigo</t>
        </is>
      </c>
      <c r="G25" s="202" t="inlineStr">
        <is>
          <t>Muro</t>
        </is>
      </c>
      <c r="H25" s="202" t="inlineStr">
        <is>
          <t>Puerta</t>
        </is>
      </c>
      <c r="I25" s="202" t="inlineStr">
        <is>
          <t>Melamina</t>
        </is>
      </c>
      <c r="J25" s="202" t="inlineStr">
        <is>
          <t>Puerta Melamina a Medida + Maneta Codigo</t>
        </is>
      </c>
      <c r="K25" s="202" t="inlineStr">
        <is>
          <t>*New</t>
        </is>
      </c>
      <c r="L25" s="202" t="n"/>
      <c r="M25" s="202" t="n"/>
      <c r="N25" s="202" t="n"/>
      <c r="O25" s="202" t="n"/>
      <c r="P25" s="202" t="inlineStr">
        <is>
          <t>UDS</t>
        </is>
      </c>
      <c r="Q25" s="205" t="inlineStr">
        <is>
          <t>€/Uni</t>
        </is>
      </c>
      <c r="R25" s="205" t="n">
        <v>251</v>
      </c>
      <c r="S25" s="205" t="n">
        <v>251</v>
      </c>
      <c r="T25" s="202" t="n"/>
      <c r="U25" s="202" t="n"/>
      <c r="V25" s="202" t="n">
        <v>0</v>
      </c>
      <c r="W25" s="205" t="n">
        <v>0</v>
      </c>
      <c r="X25" s="205">
        <f>IFERROR(ROUNDUP((Q33/J33)/0.5,0)*0.5,0)</f>
        <v/>
      </c>
      <c r="Y25" s="205" t="n">
        <v>0</v>
      </c>
      <c r="Z25" s="205">
        <f>IF(J33=0,J33*K33,J33*K33)</f>
        <v/>
      </c>
      <c r="AA25" s="205" t="n">
        <v>1</v>
      </c>
      <c r="AB25" s="205">
        <f>$N$46</f>
        <v/>
      </c>
      <c r="AC25" s="205" t="n">
        <v>0</v>
      </c>
      <c r="AD25" s="205">
        <f>SUM(M33*N33)+M33</f>
        <v/>
      </c>
    </row>
    <row r="26">
      <c r="A26" s="202" t="inlineStr">
        <is>
          <t>PRESUPUESTO</t>
        </is>
      </c>
      <c r="B26" s="204" t="n">
        <v>34</v>
      </c>
      <c r="C26" s="204" t="n">
        <v>26</v>
      </c>
      <c r="D26" s="202" t="inlineStr">
        <is>
          <t>MURO - PUERTA</t>
        </is>
      </c>
      <c r="E26" s="202" t="inlineStr">
        <is>
          <t>muro</t>
        </is>
      </c>
      <c r="F26" s="202" t="inlineStr">
        <is>
          <t>muro_puerta_melamina_puerta_melamina_a_medida_maneta_normal</t>
        </is>
      </c>
      <c r="G26" s="202" t="inlineStr">
        <is>
          <t>Muro</t>
        </is>
      </c>
      <c r="H26" s="202" t="inlineStr">
        <is>
          <t>Puerta</t>
        </is>
      </c>
      <c r="I26" s="202" t="inlineStr">
        <is>
          <t>Melamina</t>
        </is>
      </c>
      <c r="J26" s="202" t="inlineStr">
        <is>
          <t>Puerta Melamina a Medida + Maneta Normal</t>
        </is>
      </c>
      <c r="K26" s="202" t="inlineStr">
        <is>
          <t>*New</t>
        </is>
      </c>
      <c r="L26" s="202" t="n"/>
      <c r="M26" s="202" t="n"/>
      <c r="N26" s="202" t="n"/>
      <c r="O26" s="202" t="n"/>
      <c r="P26" s="202" t="inlineStr">
        <is>
          <t>UDS</t>
        </is>
      </c>
      <c r="Q26" s="205" t="inlineStr">
        <is>
          <t>€/Uni</t>
        </is>
      </c>
      <c r="R26" s="205" t="n">
        <v>227</v>
      </c>
      <c r="S26" s="205" t="n">
        <v>227</v>
      </c>
      <c r="T26" s="202" t="n"/>
      <c r="U26" s="202" t="n"/>
      <c r="V26" s="202" t="n">
        <v>0</v>
      </c>
      <c r="W26" s="205" t="n">
        <v>0</v>
      </c>
      <c r="X26" s="205">
        <f>IFERROR(ROUNDUP((Q34/J34)/0.5,0)*0.5,0)</f>
        <v/>
      </c>
      <c r="Y26" s="205" t="n">
        <v>0</v>
      </c>
      <c r="Z26" s="205">
        <f>IF(J34=0,J34*K34,J34*K34)</f>
        <v/>
      </c>
      <c r="AA26" s="205" t="n">
        <v>1</v>
      </c>
      <c r="AB26" s="205">
        <f>$N$46</f>
        <v/>
      </c>
      <c r="AC26" s="205" t="n">
        <v>0</v>
      </c>
      <c r="AD26" s="205">
        <f>SUM(M34*N34)+M34</f>
        <v/>
      </c>
    </row>
    <row r="27">
      <c r="A27" s="202" t="inlineStr">
        <is>
          <t>PRESUPUESTO</t>
        </is>
      </c>
      <c r="B27" s="204" t="n">
        <v>35</v>
      </c>
      <c r="C27" s="204" t="n">
        <v>26</v>
      </c>
      <c r="D27" s="202" t="inlineStr">
        <is>
          <t>MURO - PUERTA</t>
        </is>
      </c>
      <c r="E27" s="202" t="inlineStr">
        <is>
          <t>muro</t>
        </is>
      </c>
      <c r="F27" s="202" t="inlineStr">
        <is>
          <t>muro_puerta_cristal_alquiler_puerta_2_68m_con_tarja_alquiler</t>
        </is>
      </c>
      <c r="G27" s="202" t="inlineStr">
        <is>
          <t>Muro</t>
        </is>
      </c>
      <c r="H27" s="202" t="inlineStr">
        <is>
          <t>Puerta</t>
        </is>
      </c>
      <c r="I27" s="202" t="inlineStr">
        <is>
          <t>Cristal Alquiler</t>
        </is>
      </c>
      <c r="J27" s="202" t="inlineStr">
        <is>
          <t>Puerta (2,68m con Tarja) Alquiler</t>
        </is>
      </c>
      <c r="K27" s="202" t="n"/>
      <c r="L27" s="202" t="n"/>
      <c r="M27" s="202" t="n"/>
      <c r="N27" s="202" t="n"/>
      <c r="O27" s="202" t="n"/>
      <c r="P27" s="202" t="inlineStr">
        <is>
          <t>UDS</t>
        </is>
      </c>
      <c r="Q27" s="205" t="inlineStr">
        <is>
          <t>€/Uni</t>
        </is>
      </c>
      <c r="R27" s="205" t="n">
        <v>209</v>
      </c>
      <c r="S27" s="205" t="n">
        <v>209</v>
      </c>
      <c r="T27" s="202" t="n"/>
      <c r="U27" s="202" t="n"/>
      <c r="V27" s="202" t="n">
        <v>0</v>
      </c>
      <c r="W27" s="205" t="n">
        <v>0</v>
      </c>
      <c r="X27" s="205">
        <f>IFERROR(ROUNDUP((Q35/J35)/0.5,0)*0.5,0)</f>
        <v/>
      </c>
      <c r="Y27" s="205" t="n">
        <v>0</v>
      </c>
      <c r="Z27" s="205">
        <f>IF(J35=0,J35*K35,J35*K35)</f>
        <v/>
      </c>
      <c r="AA27" s="205" t="n">
        <v>1</v>
      </c>
      <c r="AB27" s="205">
        <f>$N$46</f>
        <v/>
      </c>
      <c r="AC27" s="205" t="n">
        <v>0</v>
      </c>
      <c r="AD27" s="205">
        <f>SUM(M35*N35)+M35</f>
        <v/>
      </c>
    </row>
    <row r="28">
      <c r="A28" s="202" t="inlineStr">
        <is>
          <t>PRESUPUESTO</t>
        </is>
      </c>
      <c r="B28" s="204" t="n">
        <v>37</v>
      </c>
      <c r="C28" s="204" t="n">
        <v>36</v>
      </c>
      <c r="D28" s="202" t="inlineStr">
        <is>
          <t>MURO - CRISTALES</t>
        </is>
      </c>
      <c r="E28" s="202" t="inlineStr">
        <is>
          <t>muro</t>
        </is>
      </c>
      <c r="F28" s="202" t="inlineStr">
        <is>
          <t>muro_paredes_cristal_semimuro_compra</t>
        </is>
      </c>
      <c r="G28" s="202" t="inlineStr">
        <is>
          <t>Muro</t>
        </is>
      </c>
      <c r="H28" s="202" t="inlineStr">
        <is>
          <t>Paredes</t>
        </is>
      </c>
      <c r="I28" s="202" t="inlineStr">
        <is>
          <t>Cristal</t>
        </is>
      </c>
      <c r="J28" s="202" t="inlineStr">
        <is>
          <t>Semimuro Compra</t>
        </is>
      </c>
      <c r="K28" s="202" t="n"/>
      <c r="L28" s="202" t="inlineStr">
        <is>
          <t>Largo</t>
        </is>
      </c>
      <c r="M28" s="202" t="inlineStr">
        <is>
          <t>Altura</t>
        </is>
      </c>
      <c r="N28" s="202" t="n"/>
      <c r="O28" s="202" t="inlineStr">
        <is>
          <t>m2</t>
        </is>
      </c>
      <c r="P28" s="202" t="inlineStr">
        <is>
          <t>UDS</t>
        </is>
      </c>
      <c r="Q28" s="205" t="inlineStr">
        <is>
          <t>€/m2</t>
        </is>
      </c>
      <c r="R28" s="205" t="n">
        <v>70</v>
      </c>
      <c r="S28" s="205" t="n">
        <v>70</v>
      </c>
      <c r="T28" s="202" t="n">
        <v>0</v>
      </c>
      <c r="U28" s="202">
        <f>F37*G37</f>
        <v/>
      </c>
      <c r="V28" s="202" t="n">
        <v>0</v>
      </c>
      <c r="W28" s="205" t="n">
        <v>0</v>
      </c>
      <c r="X28" s="205">
        <f>IFERROR(ROUNDUP((Q37/I37)/0.5,0)*0.5,0)</f>
        <v/>
      </c>
      <c r="Y28" s="205" t="n">
        <v>0</v>
      </c>
      <c r="Z28" s="205">
        <f>IF(I37=0,J37*K37,I37*J37*K37)</f>
        <v/>
      </c>
      <c r="AA28" s="205" t="n">
        <v>1</v>
      </c>
      <c r="AB28" s="205">
        <f>$N$46</f>
        <v/>
      </c>
      <c r="AC28" s="205" t="n">
        <v>0</v>
      </c>
      <c r="AD28" s="205">
        <f>SUM(M37*N37)+M37</f>
        <v/>
      </c>
    </row>
    <row r="29">
      <c r="A29" s="202" t="inlineStr">
        <is>
          <t>PRESUPUESTO</t>
        </is>
      </c>
      <c r="B29" s="204" t="n">
        <v>38</v>
      </c>
      <c r="C29" s="204" t="n">
        <v>36</v>
      </c>
      <c r="D29" s="202" t="inlineStr">
        <is>
          <t>MURO - CRISTALES</t>
        </is>
      </c>
      <c r="E29" s="202" t="inlineStr">
        <is>
          <t>muro</t>
        </is>
      </c>
      <c r="F29" s="202" t="inlineStr">
        <is>
          <t>muro_paredes_cristal_alquiler_pared_2_68m_altura_alquiler</t>
        </is>
      </c>
      <c r="G29" s="202" t="inlineStr">
        <is>
          <t>Muro</t>
        </is>
      </c>
      <c r="H29" s="202" t="inlineStr">
        <is>
          <t>Paredes</t>
        </is>
      </c>
      <c r="I29" s="202" t="inlineStr">
        <is>
          <t>Cristal Alquiler</t>
        </is>
      </c>
      <c r="J29" s="202" t="inlineStr">
        <is>
          <t>Pared (2,68m Altura) Alquiler</t>
        </is>
      </c>
      <c r="K29" s="202" t="n"/>
      <c r="L29" s="202" t="inlineStr">
        <is>
          <t>Largo</t>
        </is>
      </c>
      <c r="M29" s="202" t="inlineStr">
        <is>
          <t>Altura</t>
        </is>
      </c>
      <c r="N29" s="202" t="n"/>
      <c r="O29" s="202" t="inlineStr">
        <is>
          <t>m2</t>
        </is>
      </c>
      <c r="P29" s="202" t="inlineStr">
        <is>
          <t>UDS</t>
        </is>
      </c>
      <c r="Q29" s="205" t="inlineStr">
        <is>
          <t>€/m2</t>
        </is>
      </c>
      <c r="R29" s="205" t="n">
        <v>25</v>
      </c>
      <c r="S29" s="205" t="n">
        <v>25</v>
      </c>
      <c r="T29" s="202" t="n">
        <v>0</v>
      </c>
      <c r="U29" s="202">
        <f>F38*G38</f>
        <v/>
      </c>
      <c r="V29" s="202" t="n">
        <v>0</v>
      </c>
      <c r="W29" s="205" t="n">
        <v>0</v>
      </c>
      <c r="X29" s="205">
        <f>IFERROR(ROUNDUP((Q38/I38)/0.5,0)*0.5,0)</f>
        <v/>
      </c>
      <c r="Y29" s="205" t="n">
        <v>0</v>
      </c>
      <c r="Z29" s="205">
        <f>IF(I38=0,J38*K38,I38*J38*K38)</f>
        <v/>
      </c>
      <c r="AA29" s="205" t="n">
        <v>1</v>
      </c>
      <c r="AB29" s="205">
        <f>$N$46</f>
        <v/>
      </c>
      <c r="AC29" s="205" t="n">
        <v>0</v>
      </c>
      <c r="AD29" s="205">
        <f>SUM(M38*N38)+M38</f>
        <v/>
      </c>
    </row>
    <row r="30">
      <c r="A30" s="202" t="inlineStr">
        <is>
          <t>PRESUPUESTO</t>
        </is>
      </c>
      <c r="B30" s="204" t="n">
        <v>40</v>
      </c>
      <c r="C30" s="204" t="n">
        <v>39</v>
      </c>
      <c r="D30" s="202" t="inlineStr">
        <is>
          <t>MURO - CURVAS / REGATA LED / AISLANTE MURO</t>
        </is>
      </c>
      <c r="E30" s="202" t="inlineStr">
        <is>
          <t>muro</t>
        </is>
      </c>
      <c r="F30" s="202" t="inlineStr">
        <is>
          <t>muro_curvas_chopo_para_pintar_chopo_5mm_a_1_caras_minimo_1m2_por_tira</t>
        </is>
      </c>
      <c r="G30" s="202" t="inlineStr">
        <is>
          <t>Muro</t>
        </is>
      </c>
      <c r="H30" s="202" t="inlineStr">
        <is>
          <t>Curvas</t>
        </is>
      </c>
      <c r="I30" s="202" t="inlineStr">
        <is>
          <t>Chopo</t>
        </is>
      </c>
      <c r="J30" s="202" t="inlineStr">
        <is>
          <t>Para Pintar Chopo 5mm a 1 caras (Minimo 1m2 por tira)</t>
        </is>
      </c>
      <c r="K30" s="202" t="n"/>
      <c r="L30" s="202" t="inlineStr">
        <is>
          <t>Ancho</t>
        </is>
      </c>
      <c r="M30" s="202" t="inlineStr">
        <is>
          <t>Fondo</t>
        </is>
      </c>
      <c r="N30" s="202" t="inlineStr">
        <is>
          <t>Altura</t>
        </is>
      </c>
      <c r="O30" s="202" t="inlineStr">
        <is>
          <t>ml / m2</t>
        </is>
      </c>
      <c r="P30" s="202" t="inlineStr">
        <is>
          <t>UDS</t>
        </is>
      </c>
      <c r="Q30" s="205" t="inlineStr">
        <is>
          <t>€/ml m2</t>
        </is>
      </c>
      <c r="R30" s="205" t="n">
        <v>44</v>
      </c>
      <c r="S30" s="205" t="n">
        <v>44</v>
      </c>
      <c r="T30" s="202" t="n">
        <v>0</v>
      </c>
      <c r="U30" s="202">
        <f>F40*G40</f>
        <v/>
      </c>
      <c r="V30" s="202" t="n">
        <v>0</v>
      </c>
      <c r="W30" s="205" t="n">
        <v>0</v>
      </c>
      <c r="X30" s="205">
        <f>IFERROR(ROUNDUP((Q40/I40)/0.5,0)*0.5,0)</f>
        <v/>
      </c>
      <c r="Y30" s="205" t="n">
        <v>0</v>
      </c>
      <c r="Z30" s="205">
        <f>IF(I40=0,J40*K40,I40*J40*K40)</f>
        <v/>
      </c>
      <c r="AA30" s="205" t="n">
        <v>1</v>
      </c>
      <c r="AB30" s="205">
        <f>$N$126</f>
        <v/>
      </c>
      <c r="AC30" s="205" t="n">
        <v>0</v>
      </c>
      <c r="AD30" s="205">
        <f>SUM(M40*N40)+M40</f>
        <v/>
      </c>
    </row>
    <row r="31">
      <c r="A31" s="202" t="inlineStr">
        <is>
          <t>PRESUPUESTO</t>
        </is>
      </c>
      <c r="B31" s="204" t="n">
        <v>41</v>
      </c>
      <c r="C31" s="204" t="n">
        <v>39</v>
      </c>
      <c r="D31" s="202" t="inlineStr">
        <is>
          <t>MURO - CURVAS / REGATA LED / AISLANTE MURO</t>
        </is>
      </c>
      <c r="E31" s="202" t="inlineStr">
        <is>
          <t>muro</t>
        </is>
      </c>
      <c r="F31" s="202" t="inlineStr">
        <is>
          <t>muro_curvas_chopo_para_pintar_chopo_5mm_a_2_caras_minimo_1m2_por_tira</t>
        </is>
      </c>
      <c r="G31" s="202" t="inlineStr">
        <is>
          <t>Muro</t>
        </is>
      </c>
      <c r="H31" s="202" t="inlineStr">
        <is>
          <t>Curvas</t>
        </is>
      </c>
      <c r="I31" s="202" t="inlineStr">
        <is>
          <t>Chopo</t>
        </is>
      </c>
      <c r="J31" s="202" t="inlineStr">
        <is>
          <t>Para Pintar Chopo 5mm a 2 caras (Minimo 1m2 por tira)</t>
        </is>
      </c>
      <c r="K31" s="202" t="n"/>
      <c r="L31" s="202" t="inlineStr">
        <is>
          <t>Ancho</t>
        </is>
      </c>
      <c r="M31" s="202" t="inlineStr">
        <is>
          <t>Fondo</t>
        </is>
      </c>
      <c r="N31" s="202" t="inlineStr">
        <is>
          <t>Altura</t>
        </is>
      </c>
      <c r="O31" s="202" t="inlineStr">
        <is>
          <t>ml / m2</t>
        </is>
      </c>
      <c r="P31" s="202" t="inlineStr">
        <is>
          <t>UDS</t>
        </is>
      </c>
      <c r="Q31" s="205" t="inlineStr">
        <is>
          <t>€/ml m2</t>
        </is>
      </c>
      <c r="R31" s="205" t="n">
        <v>58</v>
      </c>
      <c r="S31" s="205" t="n">
        <v>58</v>
      </c>
      <c r="T31" s="202" t="n">
        <v>0</v>
      </c>
      <c r="U31" s="202">
        <f>F41*G41</f>
        <v/>
      </c>
      <c r="V31" s="202" t="n">
        <v>0</v>
      </c>
      <c r="W31" s="205" t="n">
        <v>0</v>
      </c>
      <c r="X31" s="205">
        <f>IFERROR(ROUNDUP((Q41/I41)/0.5,0)*0.5,0)</f>
        <v/>
      </c>
      <c r="Y31" s="205" t="n">
        <v>0</v>
      </c>
      <c r="Z31" s="205">
        <f>IF(I41=0,J41*K41,I41*J41*K41)</f>
        <v/>
      </c>
      <c r="AA31" s="205" t="n">
        <v>1</v>
      </c>
      <c r="AB31" s="205">
        <f>$N$126</f>
        <v/>
      </c>
      <c r="AC31" s="205" t="n">
        <v>0</v>
      </c>
      <c r="AD31" s="205">
        <f>SUM(M41*N41)+M41</f>
        <v/>
      </c>
    </row>
    <row r="32">
      <c r="A32" s="202" t="inlineStr">
        <is>
          <t>PRESUPUESTO</t>
        </is>
      </c>
      <c r="B32" s="204" t="n">
        <v>42</v>
      </c>
      <c r="C32" s="204" t="n">
        <v>39</v>
      </c>
      <c r="D32" s="202" t="inlineStr">
        <is>
          <t>MURO - CURVAS / REGATA LED / AISLANTE MURO</t>
        </is>
      </c>
      <c r="E32" s="202" t="inlineStr">
        <is>
          <t>muro</t>
        </is>
      </c>
      <c r="F32" s="202" t="inlineStr">
        <is>
          <t>muro_tapetas_mdf_5mm_minimo_1m2_por_tira</t>
        </is>
      </c>
      <c r="G32" s="202" t="inlineStr">
        <is>
          <t>Muro</t>
        </is>
      </c>
      <c r="H32" s="202" t="inlineStr">
        <is>
          <t>Tapetas</t>
        </is>
      </c>
      <c r="I32" s="202" t="inlineStr">
        <is>
          <t>MDF</t>
        </is>
      </c>
      <c r="J32" s="202" t="inlineStr">
        <is>
          <t>5mm (Minimo 1m2 por tira)</t>
        </is>
      </c>
      <c r="K32" s="202" t="n"/>
      <c r="L32" s="202" t="inlineStr">
        <is>
          <t>Ancho</t>
        </is>
      </c>
      <c r="M32" s="202" t="inlineStr">
        <is>
          <t>Fondo</t>
        </is>
      </c>
      <c r="N32" s="202" t="inlineStr">
        <is>
          <t>Altura</t>
        </is>
      </c>
      <c r="O32" s="202" t="inlineStr">
        <is>
          <t>ml / m2</t>
        </is>
      </c>
      <c r="P32" s="202" t="inlineStr">
        <is>
          <t>UDS</t>
        </is>
      </c>
      <c r="Q32" s="205" t="inlineStr">
        <is>
          <t>€/ml m2</t>
        </is>
      </c>
      <c r="R32" s="205" t="n">
        <v>5</v>
      </c>
      <c r="S32" s="205" t="n">
        <v>5</v>
      </c>
      <c r="T32" s="202" t="n">
        <v>0</v>
      </c>
      <c r="U32" s="202">
        <f>F42*G42</f>
        <v/>
      </c>
      <c r="V32" s="202" t="n">
        <v>0</v>
      </c>
      <c r="W32" s="205" t="n">
        <v>0</v>
      </c>
      <c r="X32" s="205">
        <f>IFERROR(ROUNDUP((Q42/I42)/0.5,0)*0.5,0)</f>
        <v/>
      </c>
      <c r="Y32" s="205" t="n">
        <v>0</v>
      </c>
      <c r="Z32" s="205">
        <f>IF(I42=0,J42*K42,I42*J42*K42)</f>
        <v/>
      </c>
      <c r="AA32" s="205" t="n">
        <v>1</v>
      </c>
      <c r="AB32" s="205">
        <f>$N$64</f>
        <v/>
      </c>
      <c r="AC32" s="205" t="n">
        <v>0</v>
      </c>
      <c r="AD32" s="205">
        <f>SUM(M42*N42)+M42</f>
        <v/>
      </c>
    </row>
    <row r="33">
      <c r="A33" s="202" t="inlineStr">
        <is>
          <t>PRESUPUESTO</t>
        </is>
      </c>
      <c r="B33" s="204" t="n">
        <v>43</v>
      </c>
      <c r="C33" s="204" t="n">
        <v>39</v>
      </c>
      <c r="D33" s="202" t="inlineStr">
        <is>
          <t>MURO - CURVAS / REGATA LED / AISLANTE MURO</t>
        </is>
      </c>
      <c r="E33" s="202" t="inlineStr">
        <is>
          <t>muro</t>
        </is>
      </c>
      <c r="F33" s="202" t="inlineStr">
        <is>
          <t>muro_proceso_regata_regata_led_recta</t>
        </is>
      </c>
      <c r="G33" s="202" t="inlineStr">
        <is>
          <t>Muro</t>
        </is>
      </c>
      <c r="H33" s="202" t="inlineStr">
        <is>
          <t>Proceso</t>
        </is>
      </c>
      <c r="I33" s="202" t="inlineStr">
        <is>
          <t>Regata</t>
        </is>
      </c>
      <c r="J33" s="202" t="inlineStr">
        <is>
          <t>Regata Led Recta</t>
        </is>
      </c>
      <c r="K33" s="202" t="n"/>
      <c r="L33" s="202" t="inlineStr">
        <is>
          <t>Ancho</t>
        </is>
      </c>
      <c r="M33" s="202" t="inlineStr">
        <is>
          <t>Fondo</t>
        </is>
      </c>
      <c r="N33" s="202" t="inlineStr">
        <is>
          <t>Altura</t>
        </is>
      </c>
      <c r="O33" s="202" t="inlineStr">
        <is>
          <t>ml / m2</t>
        </is>
      </c>
      <c r="P33" s="202" t="inlineStr">
        <is>
          <t>UDS</t>
        </is>
      </c>
      <c r="Q33" s="205" t="inlineStr">
        <is>
          <t>€/ml m2</t>
        </is>
      </c>
      <c r="R33" s="205" t="n">
        <v>5</v>
      </c>
      <c r="S33" s="205" t="n">
        <v>5</v>
      </c>
      <c r="T33" s="202" t="n">
        <v>0</v>
      </c>
      <c r="U33" s="202" t="n"/>
      <c r="V33" s="202" t="n">
        <v>0</v>
      </c>
      <c r="W33" s="205" t="n">
        <v>0</v>
      </c>
      <c r="X33" s="205">
        <f>IFERROR(ROUNDUP((Q43/I43)/0.5,0)*0.5,0)</f>
        <v/>
      </c>
      <c r="Y33" s="205" t="n">
        <v>0</v>
      </c>
      <c r="Z33" s="205">
        <f>IF(I43=0,J43*K43,I43*J43*K43)</f>
        <v/>
      </c>
      <c r="AA33" s="205" t="n">
        <v>1</v>
      </c>
      <c r="AB33" s="205">
        <f>$N$14</f>
        <v/>
      </c>
      <c r="AC33" s="205" t="n">
        <v>0</v>
      </c>
      <c r="AD33" s="205">
        <f>SUM(M43*N43)+M43</f>
        <v/>
      </c>
    </row>
    <row r="34">
      <c r="A34" s="202" t="inlineStr">
        <is>
          <t>PRESUPUESTO</t>
        </is>
      </c>
      <c r="B34" s="204" t="n">
        <v>44</v>
      </c>
      <c r="C34" s="204" t="n">
        <v>39</v>
      </c>
      <c r="D34" s="202" t="inlineStr">
        <is>
          <t>MURO - CURVAS / REGATA LED / AISLANTE MURO</t>
        </is>
      </c>
      <c r="E34" s="202" t="inlineStr">
        <is>
          <t>muro</t>
        </is>
      </c>
      <c r="F34" s="202" t="inlineStr">
        <is>
          <t>muro_proceso_regata_regata_led_diagonal_o_curva</t>
        </is>
      </c>
      <c r="G34" s="202" t="inlineStr">
        <is>
          <t>Muro</t>
        </is>
      </c>
      <c r="H34" s="202" t="inlineStr">
        <is>
          <t>Proceso</t>
        </is>
      </c>
      <c r="I34" s="202" t="inlineStr">
        <is>
          <t>Regata</t>
        </is>
      </c>
      <c r="J34" s="202" t="inlineStr">
        <is>
          <t>Regata Led Diagonal o Curva</t>
        </is>
      </c>
      <c r="K34" s="202" t="n"/>
      <c r="L34" s="202" t="inlineStr">
        <is>
          <t>Ancho</t>
        </is>
      </c>
      <c r="M34" s="202" t="inlineStr">
        <is>
          <t>Fondo</t>
        </is>
      </c>
      <c r="N34" s="202" t="inlineStr">
        <is>
          <t>Altura</t>
        </is>
      </c>
      <c r="O34" s="202" t="inlineStr">
        <is>
          <t>ml / m2</t>
        </is>
      </c>
      <c r="P34" s="202" t="inlineStr">
        <is>
          <t>UDS</t>
        </is>
      </c>
      <c r="Q34" s="205" t="inlineStr">
        <is>
          <t>€/ml m2</t>
        </is>
      </c>
      <c r="R34" s="205" t="n">
        <v>10</v>
      </c>
      <c r="S34" s="205" t="n">
        <v>10</v>
      </c>
      <c r="T34" s="202" t="n">
        <v>0</v>
      </c>
      <c r="U34" s="202" t="n"/>
      <c r="V34" s="202" t="n">
        <v>0</v>
      </c>
      <c r="W34" s="205" t="n">
        <v>0</v>
      </c>
      <c r="X34" s="205">
        <f>IFERROR(ROUNDUP((Q44/I44)/0.5,0)*0.5,0)</f>
        <v/>
      </c>
      <c r="Y34" s="205" t="n">
        <v>0</v>
      </c>
      <c r="Z34" s="205">
        <f>IF(I44=0,J44*K44,I44*J44*K44)</f>
        <v/>
      </c>
      <c r="AA34" s="205" t="n">
        <v>1</v>
      </c>
      <c r="AB34" s="205">
        <f>$N$14</f>
        <v/>
      </c>
      <c r="AC34" s="205" t="n">
        <v>0</v>
      </c>
      <c r="AD34" s="205">
        <f>SUM(M44*N44)+M44</f>
        <v/>
      </c>
    </row>
    <row r="35">
      <c r="A35" s="202" t="inlineStr">
        <is>
          <t>PRESUPUESTO</t>
        </is>
      </c>
      <c r="B35" s="204" t="n">
        <v>45</v>
      </c>
      <c r="C35" s="204" t="n">
        <v>39</v>
      </c>
      <c r="D35" s="202" t="inlineStr">
        <is>
          <t>MURO - CURVAS / REGATA LED / AISLANTE MURO</t>
        </is>
      </c>
      <c r="E35" s="202" t="inlineStr">
        <is>
          <t>muro</t>
        </is>
      </c>
      <c r="F35" s="202" t="inlineStr">
        <is>
          <t>muro_aislante_lana_roca_panel_acustico</t>
        </is>
      </c>
      <c r="G35" s="202" t="inlineStr">
        <is>
          <t>Muro</t>
        </is>
      </c>
      <c r="H35" s="202" t="inlineStr">
        <is>
          <t>Aislante</t>
        </is>
      </c>
      <c r="I35" s="202" t="inlineStr">
        <is>
          <t>Lana Roca</t>
        </is>
      </c>
      <c r="J35" s="202" t="inlineStr">
        <is>
          <t>Panel acustico</t>
        </is>
      </c>
      <c r="K35" s="202" t="n"/>
      <c r="L35" s="202" t="inlineStr">
        <is>
          <t>Ancho</t>
        </is>
      </c>
      <c r="M35" s="202" t="inlineStr">
        <is>
          <t>Fondo</t>
        </is>
      </c>
      <c r="N35" s="202" t="inlineStr">
        <is>
          <t>Altura</t>
        </is>
      </c>
      <c r="O35" s="202" t="inlineStr">
        <is>
          <t>ml / m2</t>
        </is>
      </c>
      <c r="P35" s="202" t="inlineStr">
        <is>
          <t>UDS</t>
        </is>
      </c>
      <c r="Q35" s="205" t="inlineStr">
        <is>
          <t>€/ml m2</t>
        </is>
      </c>
      <c r="R35" s="205" t="n">
        <v>3</v>
      </c>
      <c r="S35" s="205" t="n">
        <v>3</v>
      </c>
      <c r="T35" s="202" t="n">
        <v>0</v>
      </c>
      <c r="U35" s="202">
        <f>F45*G45</f>
        <v/>
      </c>
      <c r="V35" s="202" t="n">
        <v>0</v>
      </c>
      <c r="W35" s="205" t="n">
        <v>0</v>
      </c>
      <c r="X35" s="205">
        <f>IFERROR(ROUNDUP((Q45/I45)/0.5,0)*0.5,0)</f>
        <v/>
      </c>
      <c r="Y35" s="205" t="n">
        <v>0</v>
      </c>
      <c r="Z35" s="205">
        <f>IF(I45=0,J45*K45,I45*J45*K45)</f>
        <v/>
      </c>
      <c r="AA35" s="205" t="n">
        <v>1</v>
      </c>
      <c r="AB35" s="205">
        <f>$N$46</f>
        <v/>
      </c>
      <c r="AC35" s="205" t="n">
        <v>0</v>
      </c>
      <c r="AD35" s="205">
        <f>SUM(M45*N45)+M45</f>
        <v/>
      </c>
    </row>
    <row r="36">
      <c r="A36" s="202" t="inlineStr">
        <is>
          <t>PRESUPUESTO</t>
        </is>
      </c>
      <c r="B36" s="204" t="n">
        <v>48</v>
      </c>
      <c r="C36" s="204" t="n">
        <v>47</v>
      </c>
      <c r="D36" s="202" t="inlineStr">
        <is>
          <t>BANNER</t>
        </is>
      </c>
      <c r="E36" s="202" t="inlineStr">
        <is>
          <t>banner</t>
        </is>
      </c>
      <c r="F36" s="202" t="inlineStr">
        <is>
          <t>banner_banner_chopo_banner_1_cara_chopo_5mm_estructura_pino_grosor_estandar_0_05m</t>
        </is>
      </c>
      <c r="G36" s="202" t="inlineStr">
        <is>
          <t>Banner</t>
        </is>
      </c>
      <c r="H36" s="202" t="inlineStr">
        <is>
          <t>Banner</t>
        </is>
      </c>
      <c r="I36" s="202" t="inlineStr">
        <is>
          <t>Chopo</t>
        </is>
      </c>
      <c r="J36" s="202" t="inlineStr">
        <is>
          <t>Banner 1 cara Chopo 5mm + Estructura Pino (Grosor Estandar 0,05m)</t>
        </is>
      </c>
      <c r="K36" s="202" t="n"/>
      <c r="L36" s="202" t="inlineStr">
        <is>
          <t>Largo</t>
        </is>
      </c>
      <c r="M36" s="202" t="inlineStr">
        <is>
          <t>Altura</t>
        </is>
      </c>
      <c r="N36" s="202" t="inlineStr">
        <is>
          <t>Grosor</t>
        </is>
      </c>
      <c r="O36" s="202" t="inlineStr">
        <is>
          <t>m2</t>
        </is>
      </c>
      <c r="P36" s="202" t="inlineStr">
        <is>
          <t>UDS</t>
        </is>
      </c>
      <c r="Q36" s="205" t="inlineStr">
        <is>
          <t>€/m2</t>
        </is>
      </c>
      <c r="R36" s="205" t="n">
        <v>23</v>
      </c>
      <c r="S36" s="205" t="n">
        <v>23</v>
      </c>
      <c r="T36" s="202" t="n">
        <v>0</v>
      </c>
      <c r="U36" s="202">
        <f>F48*G48</f>
        <v/>
      </c>
      <c r="V36" s="202" t="n">
        <v>0</v>
      </c>
      <c r="W36" s="205" t="n">
        <v>0</v>
      </c>
      <c r="X36" s="205">
        <f>IFERROR(ROUNDUP((Q48/I48)/0.5,0)*0.5,0)</f>
        <v/>
      </c>
      <c r="Y36" s="205" t="n">
        <v>0</v>
      </c>
      <c r="Z36" s="205">
        <f>IF(I48=0,J48*K48,I48*J48*K48)</f>
        <v/>
      </c>
      <c r="AA36" s="205" t="n">
        <v>1</v>
      </c>
      <c r="AB36" s="205">
        <f>$N$54</f>
        <v/>
      </c>
      <c r="AC36" s="205" t="n">
        <v>0</v>
      </c>
      <c r="AD36" s="205">
        <f>SUM(M48*N48)+M48</f>
        <v/>
      </c>
    </row>
    <row r="37">
      <c r="A37" s="202" t="inlineStr">
        <is>
          <t>PRESUPUESTO</t>
        </is>
      </c>
      <c r="B37" s="204" t="n">
        <v>49</v>
      </c>
      <c r="C37" s="204" t="n">
        <v>47</v>
      </c>
      <c r="D37" s="202" t="inlineStr">
        <is>
          <t>BANNER</t>
        </is>
      </c>
      <c r="E37" s="202" t="inlineStr">
        <is>
          <t>banner</t>
        </is>
      </c>
      <c r="F37" s="202" t="inlineStr">
        <is>
          <t>banner_banner_chopo_banner_2_caras_chopo_5mm_estructura_pino_grosor_estandar_0_055m</t>
        </is>
      </c>
      <c r="G37" s="202" t="inlineStr">
        <is>
          <t>Banner</t>
        </is>
      </c>
      <c r="H37" s="202" t="inlineStr">
        <is>
          <t>Banner</t>
        </is>
      </c>
      <c r="I37" s="202" t="inlineStr">
        <is>
          <t>Chopo</t>
        </is>
      </c>
      <c r="J37" s="202" t="inlineStr">
        <is>
          <t>Banner 2 caras Chopo 5mm + Estructura Pino (Grosor Estandar 0,055m)</t>
        </is>
      </c>
      <c r="K37" s="202" t="n"/>
      <c r="L37" s="202" t="inlineStr">
        <is>
          <t>Largo</t>
        </is>
      </c>
      <c r="M37" s="202" t="inlineStr">
        <is>
          <t>Altura</t>
        </is>
      </c>
      <c r="N37" s="202" t="inlineStr">
        <is>
          <t>Grosor</t>
        </is>
      </c>
      <c r="O37" s="202" t="inlineStr">
        <is>
          <t>m2</t>
        </is>
      </c>
      <c r="P37" s="202" t="inlineStr">
        <is>
          <t>UDS</t>
        </is>
      </c>
      <c r="Q37" s="205" t="inlineStr">
        <is>
          <t>€/m2</t>
        </is>
      </c>
      <c r="R37" s="205" t="n">
        <v>37</v>
      </c>
      <c r="S37" s="205" t="n">
        <v>37</v>
      </c>
      <c r="T37" s="202" t="n">
        <v>0</v>
      </c>
      <c r="U37" s="202">
        <f>F49*G49</f>
        <v/>
      </c>
      <c r="V37" s="202" t="n">
        <v>0</v>
      </c>
      <c r="W37" s="205" t="n">
        <v>0</v>
      </c>
      <c r="X37" s="205">
        <f>IFERROR(ROUNDUP((Q49/I49)/0.5,0)*0.5,0)</f>
        <v/>
      </c>
      <c r="Y37" s="205" t="n">
        <v>0</v>
      </c>
      <c r="Z37" s="205">
        <f>IF(I49=0,J49*K49,I49*J49*K49)</f>
        <v/>
      </c>
      <c r="AA37" s="205" t="n">
        <v>1</v>
      </c>
      <c r="AB37" s="205">
        <f>$N$54</f>
        <v/>
      </c>
      <c r="AC37" s="205" t="n">
        <v>0</v>
      </c>
      <c r="AD37" s="205">
        <f>SUM(M49*N49)+M49</f>
        <v/>
      </c>
    </row>
    <row r="38">
      <c r="A38" s="202" t="inlineStr">
        <is>
          <t>PRESUPUESTO</t>
        </is>
      </c>
      <c r="B38" s="204" t="n">
        <v>50</v>
      </c>
      <c r="C38" s="204" t="n">
        <v>47</v>
      </c>
      <c r="D38" s="202" t="inlineStr">
        <is>
          <t>BANNER</t>
        </is>
      </c>
      <c r="E38" s="202" t="inlineStr">
        <is>
          <t>banner</t>
        </is>
      </c>
      <c r="F38" s="202" t="inlineStr">
        <is>
          <t>banner_banner_chopo_banner_2_caras_chopo_5mm_estructura_pino_grosor_0_055mm</t>
        </is>
      </c>
      <c r="G38" s="202" t="inlineStr">
        <is>
          <t>Banner</t>
        </is>
      </c>
      <c r="H38" s="202" t="inlineStr">
        <is>
          <t>Banner</t>
        </is>
      </c>
      <c r="I38" s="202" t="inlineStr">
        <is>
          <t>Chopo</t>
        </is>
      </c>
      <c r="J38" s="202" t="inlineStr">
        <is>
          <t>Banner 2 caras Chopo 5mm + Estructura Pino (Grosor &lt;0,055mm)</t>
        </is>
      </c>
      <c r="K38" s="202" t="n"/>
      <c r="L38" s="202" t="inlineStr">
        <is>
          <t>Largo</t>
        </is>
      </c>
      <c r="M38" s="202" t="inlineStr">
        <is>
          <t>Altura</t>
        </is>
      </c>
      <c r="N38" s="202" t="inlineStr">
        <is>
          <t>Grosor</t>
        </is>
      </c>
      <c r="O38" s="202" t="inlineStr">
        <is>
          <t>m2</t>
        </is>
      </c>
      <c r="P38" s="202" t="inlineStr">
        <is>
          <t>UDS</t>
        </is>
      </c>
      <c r="Q38" s="205" t="inlineStr">
        <is>
          <t>€/m2</t>
        </is>
      </c>
      <c r="R38" s="205" t="n">
        <v>37</v>
      </c>
      <c r="S38" s="205" t="n">
        <v>37</v>
      </c>
      <c r="T38" s="202" t="n">
        <v>0</v>
      </c>
      <c r="U38" s="202">
        <f>F50*G50</f>
        <v/>
      </c>
      <c r="V38" s="202" t="n">
        <v>0</v>
      </c>
      <c r="W38" s="205" t="n">
        <v>0</v>
      </c>
      <c r="X38" s="205">
        <f>IFERROR(ROUNDUP((Q50/I50)/0.5,0)*0.5,0)</f>
        <v/>
      </c>
      <c r="Y38" s="205" t="n">
        <v>0</v>
      </c>
      <c r="Z38" s="205">
        <f>IF(I50=0,J50*K50,I50*J50*K50)</f>
        <v/>
      </c>
      <c r="AA38" s="205" t="n">
        <v>1</v>
      </c>
      <c r="AB38" s="205">
        <f>$N$54</f>
        <v/>
      </c>
      <c r="AC38" s="205" t="n">
        <v>0</v>
      </c>
      <c r="AD38" s="205">
        <f>SUM(M50*N50)+M50</f>
        <v/>
      </c>
    </row>
    <row r="39">
      <c r="A39" s="202" t="inlineStr">
        <is>
          <t>PRESUPUESTO</t>
        </is>
      </c>
      <c r="B39" s="204" t="n">
        <v>52</v>
      </c>
      <c r="C39" s="204" t="n">
        <v>51</v>
      </c>
      <c r="D39" s="202" t="inlineStr">
        <is>
          <t>BANNER - CURVAS / REGATA LED / AISLANTE MURO</t>
        </is>
      </c>
      <c r="E39" s="202" t="inlineStr">
        <is>
          <t>banner</t>
        </is>
      </c>
      <c r="F39" s="202" t="inlineStr">
        <is>
          <t>banner_curvas_chopo_para_pintar_chopo_5mm_a_1_caras_minimo_1m2_por_tira</t>
        </is>
      </c>
      <c r="G39" s="202" t="inlineStr">
        <is>
          <t>Banner</t>
        </is>
      </c>
      <c r="H39" s="202" t="inlineStr">
        <is>
          <t>Curvas</t>
        </is>
      </c>
      <c r="I39" s="202" t="inlineStr">
        <is>
          <t>Chopo</t>
        </is>
      </c>
      <c r="J39" s="202" t="inlineStr">
        <is>
          <t>Para Pintar Chopo 5mm a 1 caras (Minimo 1m2 por tira)</t>
        </is>
      </c>
      <c r="K39" s="202" t="n"/>
      <c r="L39" s="202" t="inlineStr">
        <is>
          <t>Ancho</t>
        </is>
      </c>
      <c r="M39" s="202" t="inlineStr">
        <is>
          <t>Fondo</t>
        </is>
      </c>
      <c r="N39" s="202" t="inlineStr">
        <is>
          <t>Altura</t>
        </is>
      </c>
      <c r="O39" s="202" t="inlineStr">
        <is>
          <t>m2</t>
        </is>
      </c>
      <c r="P39" s="202" t="inlineStr">
        <is>
          <t>UDS</t>
        </is>
      </c>
      <c r="Q39" s="205" t="inlineStr">
        <is>
          <t>€/Um2</t>
        </is>
      </c>
      <c r="R39" s="205" t="n">
        <v>44</v>
      </c>
      <c r="S39" s="205" t="n">
        <v>44</v>
      </c>
      <c r="T39" s="202" t="n">
        <v>0</v>
      </c>
      <c r="U39" s="202">
        <f>F52*G52</f>
        <v/>
      </c>
      <c r="V39" s="202" t="n">
        <v>0</v>
      </c>
      <c r="W39" s="205" t="n">
        <v>0</v>
      </c>
      <c r="X39" s="205">
        <f>IFERROR(ROUNDUP((Q52/I52)/0.5,0)*0.5,0)</f>
        <v/>
      </c>
      <c r="Y39" s="205" t="n">
        <v>0</v>
      </c>
      <c r="Z39" s="205">
        <f>IF(I52=0,J52*K52,I52*J52*K52)</f>
        <v/>
      </c>
      <c r="AA39" s="205" t="n">
        <v>1</v>
      </c>
      <c r="AB39" s="205">
        <f>$N$126</f>
        <v/>
      </c>
      <c r="AC39" s="205" t="n">
        <v>0</v>
      </c>
      <c r="AD39" s="205">
        <f>SUM(M52*N52)+M52</f>
        <v/>
      </c>
    </row>
    <row r="40">
      <c r="A40" s="202" t="inlineStr">
        <is>
          <t>PRESUPUESTO</t>
        </is>
      </c>
      <c r="B40" s="204" t="n">
        <v>53</v>
      </c>
      <c r="C40" s="204" t="n">
        <v>51</v>
      </c>
      <c r="D40" s="202" t="inlineStr">
        <is>
          <t>BANNER - CURVAS / REGATA LED / AISLANTE MURO</t>
        </is>
      </c>
      <c r="E40" s="202" t="inlineStr">
        <is>
          <t>banner</t>
        </is>
      </c>
      <c r="F40" s="202" t="inlineStr">
        <is>
          <t>banner_curvas_chopo_para_pintar_chopo_5mm_a_2_caras_minimo_1m2_por_tira</t>
        </is>
      </c>
      <c r="G40" s="202" t="inlineStr">
        <is>
          <t>Banner</t>
        </is>
      </c>
      <c r="H40" s="202" t="inlineStr">
        <is>
          <t>Curvas</t>
        </is>
      </c>
      <c r="I40" s="202" t="inlineStr">
        <is>
          <t>Chopo</t>
        </is>
      </c>
      <c r="J40" s="202" t="inlineStr">
        <is>
          <t>Para Pintar Chopo 5mm a 2 caras (Minimo 1m2 por tira)</t>
        </is>
      </c>
      <c r="K40" s="202" t="n"/>
      <c r="L40" s="202" t="inlineStr">
        <is>
          <t>Ancho</t>
        </is>
      </c>
      <c r="M40" s="202" t="inlineStr">
        <is>
          <t>Fondo</t>
        </is>
      </c>
      <c r="N40" s="202" t="inlineStr">
        <is>
          <t>Altura</t>
        </is>
      </c>
      <c r="O40" s="202" t="inlineStr">
        <is>
          <t>m2</t>
        </is>
      </c>
      <c r="P40" s="202" t="inlineStr">
        <is>
          <t>UDS</t>
        </is>
      </c>
      <c r="Q40" s="205" t="inlineStr">
        <is>
          <t>€/Um2</t>
        </is>
      </c>
      <c r="R40" s="205" t="n">
        <v>58</v>
      </c>
      <c r="S40" s="205" t="n">
        <v>58</v>
      </c>
      <c r="T40" s="202" t="n">
        <v>0</v>
      </c>
      <c r="U40" s="202">
        <f>F53*G53</f>
        <v/>
      </c>
      <c r="V40" s="202" t="n">
        <v>0</v>
      </c>
      <c r="W40" s="205" t="n">
        <v>0</v>
      </c>
      <c r="X40" s="205">
        <f>IFERROR(ROUNDUP((Q53/I53)/0.5,0)*0.5,0)</f>
        <v/>
      </c>
      <c r="Y40" s="205" t="n">
        <v>0</v>
      </c>
      <c r="Z40" s="205">
        <f>IF(I53=0,J53*K53,I53*J53*K53)</f>
        <v/>
      </c>
      <c r="AA40" s="205" t="n">
        <v>1</v>
      </c>
      <c r="AB40" s="205">
        <f>$N$126</f>
        <v/>
      </c>
      <c r="AC40" s="205" t="n">
        <v>0</v>
      </c>
      <c r="AD40" s="205">
        <f>SUM(M53*N53)+M53</f>
        <v/>
      </c>
    </row>
    <row r="41">
      <c r="A41" s="202" t="inlineStr">
        <is>
          <t>PRESUPUESTO</t>
        </is>
      </c>
      <c r="B41" s="204" t="n">
        <v>56</v>
      </c>
      <c r="C41" s="204" t="n">
        <v>55</v>
      </c>
      <c r="D41" s="202" t="inlineStr">
        <is>
          <t>VIGA</t>
        </is>
      </c>
      <c r="E41" s="202" t="inlineStr">
        <is>
          <t>viga</t>
        </is>
      </c>
      <c r="F41" s="202" t="inlineStr">
        <is>
          <t>viga_viga_aglomerado_viga_en_u_estandar_0_15m</t>
        </is>
      </c>
      <c r="G41" s="202" t="inlineStr">
        <is>
          <t>Viga</t>
        </is>
      </c>
      <c r="H41" s="202" t="inlineStr">
        <is>
          <t>Viga</t>
        </is>
      </c>
      <c r="I41" s="202" t="inlineStr">
        <is>
          <t>Aglomerado</t>
        </is>
      </c>
      <c r="J41" s="202" t="inlineStr">
        <is>
          <t>Viga en U (Estandar 0,15m)</t>
        </is>
      </c>
      <c r="K41" s="202" t="n"/>
      <c r="L41" s="202" t="inlineStr">
        <is>
          <t>Largo</t>
        </is>
      </c>
      <c r="M41" s="202" t="inlineStr">
        <is>
          <t>Ancho</t>
        </is>
      </c>
      <c r="N41" s="202" t="inlineStr">
        <is>
          <t>Alto</t>
        </is>
      </c>
      <c r="O41" s="202" t="inlineStr">
        <is>
          <t>m2</t>
        </is>
      </c>
      <c r="P41" s="202" t="inlineStr">
        <is>
          <t>UDS</t>
        </is>
      </c>
      <c r="Q41" s="205" t="inlineStr">
        <is>
          <t>€/m2</t>
        </is>
      </c>
      <c r="R41" s="205" t="n">
        <v>110</v>
      </c>
      <c r="S41" s="205" t="n">
        <v>110</v>
      </c>
      <c r="T41" s="202" t="n">
        <v>0</v>
      </c>
      <c r="U41" s="202">
        <f>(F56*G56)+((F56*H56)*2)</f>
        <v/>
      </c>
      <c r="V41" s="202" t="n">
        <v>0</v>
      </c>
      <c r="W41" s="205" t="n">
        <v>0</v>
      </c>
      <c r="X41" s="205">
        <f>IFERROR(ROUNDUP((Q56/I56)/0.5,0)*0.5,0)</f>
        <v/>
      </c>
      <c r="Y41" s="205" t="n">
        <v>0</v>
      </c>
      <c r="Z41" s="205">
        <f>IF(I56=0,J56*K56,I56*J56*K56)</f>
        <v/>
      </c>
      <c r="AA41" s="205" t="n">
        <v>1</v>
      </c>
      <c r="AB41" s="205">
        <f>$N$69</f>
        <v/>
      </c>
      <c r="AC41" s="205" t="n">
        <v>0</v>
      </c>
      <c r="AD41" s="205">
        <f>SUM(M56*N56)+M56</f>
        <v/>
      </c>
    </row>
    <row r="42">
      <c r="A42" s="202" t="inlineStr">
        <is>
          <t>PRESUPUESTO</t>
        </is>
      </c>
      <c r="B42" s="204" t="n">
        <v>57</v>
      </c>
      <c r="C42" s="204" t="n">
        <v>55</v>
      </c>
      <c r="D42" s="202" t="inlineStr">
        <is>
          <t>VIGA</t>
        </is>
      </c>
      <c r="E42" s="202" t="inlineStr">
        <is>
          <t>viga</t>
        </is>
      </c>
      <c r="F42" s="202" t="inlineStr">
        <is>
          <t>viga_viga_melamina_viga_en_u_estandar_0_15m</t>
        </is>
      </c>
      <c r="G42" s="202" t="inlineStr">
        <is>
          <t>Viga</t>
        </is>
      </c>
      <c r="H42" s="202" t="inlineStr">
        <is>
          <t>Viga</t>
        </is>
      </c>
      <c r="I42" s="202" t="inlineStr">
        <is>
          <t>Melamina</t>
        </is>
      </c>
      <c r="J42" s="202" t="inlineStr">
        <is>
          <t>Viga en U (Estandar 0,15m)</t>
        </is>
      </c>
      <c r="K42" s="202" t="n"/>
      <c r="L42" s="202" t="inlineStr">
        <is>
          <t>Largo</t>
        </is>
      </c>
      <c r="M42" s="202" t="inlineStr">
        <is>
          <t>Ancho</t>
        </is>
      </c>
      <c r="N42" s="202" t="inlineStr">
        <is>
          <t>Alto</t>
        </is>
      </c>
      <c r="O42" s="202" t="inlineStr">
        <is>
          <t>m2</t>
        </is>
      </c>
      <c r="P42" s="202" t="inlineStr">
        <is>
          <t>UDS</t>
        </is>
      </c>
      <c r="Q42" s="205" t="inlineStr">
        <is>
          <t>€/m2</t>
        </is>
      </c>
      <c r="R42" s="205" t="n">
        <v>145</v>
      </c>
      <c r="S42" s="205" t="n">
        <v>145</v>
      </c>
      <c r="T42" s="202" t="n">
        <v>0</v>
      </c>
      <c r="U42" s="202">
        <f>(F57*G57)+((F57*H57)*2)</f>
        <v/>
      </c>
      <c r="V42" s="202" t="n">
        <v>0</v>
      </c>
      <c r="W42" s="205" t="n">
        <v>0</v>
      </c>
      <c r="X42" s="205">
        <f>IFERROR(ROUNDUP((Q57/I57)/0.5,0)*0.5,0)</f>
        <v/>
      </c>
      <c r="Y42" s="205" t="n">
        <v>0</v>
      </c>
      <c r="Z42" s="205">
        <f>IF(I57=0,J57*K57,I57*J57*K57)</f>
        <v/>
      </c>
      <c r="AA42" s="205" t="n">
        <v>1</v>
      </c>
      <c r="AB42" s="205">
        <f>$N$69</f>
        <v/>
      </c>
      <c r="AC42" s="205" t="n">
        <v>0</v>
      </c>
      <c r="AD42" s="205">
        <f>SUM(M57*N57)+M57</f>
        <v/>
      </c>
    </row>
    <row r="43">
      <c r="A43" s="202" t="inlineStr">
        <is>
          <t>PRESUPUESTO</t>
        </is>
      </c>
      <c r="B43" s="204" t="n">
        <v>58</v>
      </c>
      <c r="C43" s="204" t="n">
        <v>55</v>
      </c>
      <c r="D43" s="202" t="inlineStr">
        <is>
          <t>VIGA</t>
        </is>
      </c>
      <c r="E43" s="202" t="inlineStr">
        <is>
          <t>viga</t>
        </is>
      </c>
      <c r="F43" s="202" t="inlineStr">
        <is>
          <t>viga_viga_mel_especial_chopo_viga_en_u_estandar_0_15m</t>
        </is>
      </c>
      <c r="G43" s="202" t="inlineStr">
        <is>
          <t>Viga</t>
        </is>
      </c>
      <c r="H43" s="202" t="inlineStr">
        <is>
          <t>Viga</t>
        </is>
      </c>
      <c r="I43" s="202" t="inlineStr">
        <is>
          <t>Mel. Especial / Chopo</t>
        </is>
      </c>
      <c r="J43" s="202" t="inlineStr">
        <is>
          <t>Viga en U (Estandar 0,15m)</t>
        </is>
      </c>
      <c r="K43" s="202" t="n"/>
      <c r="L43" s="202" t="inlineStr">
        <is>
          <t>Largo</t>
        </is>
      </c>
      <c r="M43" s="202" t="inlineStr">
        <is>
          <t>Ancho</t>
        </is>
      </c>
      <c r="N43" s="202" t="inlineStr">
        <is>
          <t>Alto</t>
        </is>
      </c>
      <c r="O43" s="202" t="inlineStr">
        <is>
          <t>m2</t>
        </is>
      </c>
      <c r="P43" s="202" t="inlineStr">
        <is>
          <t>UDS</t>
        </is>
      </c>
      <c r="Q43" s="205" t="inlineStr">
        <is>
          <t>€/m2</t>
        </is>
      </c>
      <c r="R43" s="205" t="n">
        <v>150</v>
      </c>
      <c r="S43" s="205" t="n">
        <v>150</v>
      </c>
      <c r="T43" s="202" t="n">
        <v>0</v>
      </c>
      <c r="U43" s="202">
        <f>(F58*G58)+((F58*H58)*2)</f>
        <v/>
      </c>
      <c r="V43" s="202" t="n">
        <v>0</v>
      </c>
      <c r="W43" s="205" t="n">
        <v>0</v>
      </c>
      <c r="X43" s="205">
        <f>IFERROR(ROUNDUP((Q58/I58)/0.5,0)*0.5,0)</f>
        <v/>
      </c>
      <c r="Y43" s="205" t="n">
        <v>0</v>
      </c>
      <c r="Z43" s="205">
        <f>IF(I58=0,J58*K58,I58*J58*K58)</f>
        <v/>
      </c>
      <c r="AA43" s="205" t="n">
        <v>1</v>
      </c>
      <c r="AB43" s="205">
        <f>$N$69</f>
        <v/>
      </c>
      <c r="AC43" s="205" t="n">
        <v>0</v>
      </c>
      <c r="AD43" s="205">
        <f>SUM(M58*N58)+M58</f>
        <v/>
      </c>
    </row>
    <row r="44">
      <c r="A44" s="202" t="inlineStr">
        <is>
          <t>PRESUPUESTO</t>
        </is>
      </c>
      <c r="B44" s="204" t="n">
        <v>61</v>
      </c>
      <c r="C44" s="204" t="n">
        <v>60</v>
      </c>
      <c r="D44" s="202" t="inlineStr">
        <is>
          <t>PILAR</t>
        </is>
      </c>
      <c r="E44" s="202" t="inlineStr">
        <is>
          <t>pilar</t>
        </is>
      </c>
      <c r="F44" s="202" t="inlineStr">
        <is>
          <t>pilar_pilar_aglomerado_pilar_estandar_0_15m</t>
        </is>
      </c>
      <c r="G44" s="202" t="inlineStr">
        <is>
          <t>Pilar</t>
        </is>
      </c>
      <c r="H44" s="202" t="inlineStr">
        <is>
          <t>Pilar</t>
        </is>
      </c>
      <c r="I44" s="202" t="inlineStr">
        <is>
          <t>Aglomerado</t>
        </is>
      </c>
      <c r="J44" s="202" t="inlineStr">
        <is>
          <t>Pilar  (Estandar 0,15m)</t>
        </is>
      </c>
      <c r="K44" s="202" t="n"/>
      <c r="L44" s="202" t="inlineStr">
        <is>
          <t>Largo</t>
        </is>
      </c>
      <c r="M44" s="202" t="inlineStr">
        <is>
          <t>Ancho</t>
        </is>
      </c>
      <c r="N44" s="202" t="inlineStr">
        <is>
          <t>Alto</t>
        </is>
      </c>
      <c r="O44" s="202" t="inlineStr">
        <is>
          <t>m2</t>
        </is>
      </c>
      <c r="P44" s="202" t="inlineStr">
        <is>
          <t>UDS</t>
        </is>
      </c>
      <c r="Q44" s="205" t="inlineStr">
        <is>
          <t>€/m2</t>
        </is>
      </c>
      <c r="R44" s="205" t="n">
        <v>110</v>
      </c>
      <c r="S44" s="205" t="n">
        <v>110</v>
      </c>
      <c r="T44" s="202" t="n">
        <v>0</v>
      </c>
      <c r="U44" s="202">
        <f>((F61*G61)*2)+((F61*H61)*2)</f>
        <v/>
      </c>
      <c r="V44" s="202" t="n">
        <v>0</v>
      </c>
      <c r="W44" s="205" t="n">
        <v>0</v>
      </c>
      <c r="X44" s="205">
        <f>IFERROR(ROUNDUP((Q61/I61)/0.5,0)*0.5,0)</f>
        <v/>
      </c>
      <c r="Y44" s="205" t="n">
        <v>0</v>
      </c>
      <c r="Z44" s="205">
        <f>IF(I61=0,J61*K61,I61*J61*K61)</f>
        <v/>
      </c>
      <c r="AA44" s="205" t="n">
        <v>1</v>
      </c>
      <c r="AB44" s="205">
        <f>$N$69</f>
        <v/>
      </c>
      <c r="AC44" s="205" t="n">
        <v>0</v>
      </c>
      <c r="AD44" s="205">
        <f>SUM(M61*N61)+M61</f>
        <v/>
      </c>
    </row>
    <row r="45">
      <c r="A45" s="202" t="inlineStr">
        <is>
          <t>PRESUPUESTO</t>
        </is>
      </c>
      <c r="B45" s="204" t="n">
        <v>62</v>
      </c>
      <c r="C45" s="204" t="n">
        <v>60</v>
      </c>
      <c r="D45" s="202" t="inlineStr">
        <is>
          <t>PILAR</t>
        </is>
      </c>
      <c r="E45" s="202" t="inlineStr">
        <is>
          <t>pilar</t>
        </is>
      </c>
      <c r="F45" s="202" t="inlineStr">
        <is>
          <t>pilar_pilar_melamina_pilar_estandar_0_15m</t>
        </is>
      </c>
      <c r="G45" s="202" t="inlineStr">
        <is>
          <t>Pilar</t>
        </is>
      </c>
      <c r="H45" s="202" t="inlineStr">
        <is>
          <t>Pilar</t>
        </is>
      </c>
      <c r="I45" s="202" t="inlineStr">
        <is>
          <t>Melamina</t>
        </is>
      </c>
      <c r="J45" s="202" t="inlineStr">
        <is>
          <t>Pilar  (Estandar 0,15m)</t>
        </is>
      </c>
      <c r="K45" s="202" t="n"/>
      <c r="L45" s="202" t="inlineStr">
        <is>
          <t>Largo</t>
        </is>
      </c>
      <c r="M45" s="202" t="inlineStr">
        <is>
          <t>Ancho</t>
        </is>
      </c>
      <c r="N45" s="202" t="inlineStr">
        <is>
          <t>Alto</t>
        </is>
      </c>
      <c r="O45" s="202" t="inlineStr">
        <is>
          <t>m2</t>
        </is>
      </c>
      <c r="P45" s="202" t="inlineStr">
        <is>
          <t>UDS</t>
        </is>
      </c>
      <c r="Q45" s="205" t="inlineStr">
        <is>
          <t>€/m2</t>
        </is>
      </c>
      <c r="R45" s="205" t="n">
        <v>130</v>
      </c>
      <c r="S45" s="205" t="n">
        <v>130</v>
      </c>
      <c r="T45" s="202" t="n">
        <v>0</v>
      </c>
      <c r="U45" s="202">
        <f>((F62*G62)*2)+((F62*H62)*2)</f>
        <v/>
      </c>
      <c r="V45" s="202" t="n">
        <v>0</v>
      </c>
      <c r="W45" s="205" t="n">
        <v>0</v>
      </c>
      <c r="X45" s="205">
        <f>IFERROR(ROUNDUP((Q62/I62)/0.5,0)*0.5,0)</f>
        <v/>
      </c>
      <c r="Y45" s="205" t="n">
        <v>0</v>
      </c>
      <c r="Z45" s="205">
        <f>IF(I62=0,J62*K62,I62*J62*K62)</f>
        <v/>
      </c>
      <c r="AA45" s="205" t="n">
        <v>1</v>
      </c>
      <c r="AB45" s="205">
        <f>$N$69</f>
        <v/>
      </c>
      <c r="AC45" s="205" t="n">
        <v>0</v>
      </c>
      <c r="AD45" s="205">
        <f>SUM(M62*N62)+M62</f>
        <v/>
      </c>
    </row>
    <row r="46">
      <c r="A46" s="202" t="inlineStr">
        <is>
          <t>PRESUPUESTO</t>
        </is>
      </c>
      <c r="B46" s="204" t="n">
        <v>63</v>
      </c>
      <c r="C46" s="204" t="n">
        <v>60</v>
      </c>
      <c r="D46" s="202" t="inlineStr">
        <is>
          <t>PILAR</t>
        </is>
      </c>
      <c r="E46" s="202" t="inlineStr">
        <is>
          <t>pilar</t>
        </is>
      </c>
      <c r="F46" s="202" t="inlineStr">
        <is>
          <t>pilar_pilar_mel_especial_chopo_pilar_estandar_0_15m</t>
        </is>
      </c>
      <c r="G46" s="202" t="inlineStr">
        <is>
          <t>Pilar</t>
        </is>
      </c>
      <c r="H46" s="202" t="inlineStr">
        <is>
          <t>Pilar</t>
        </is>
      </c>
      <c r="I46" s="202" t="inlineStr">
        <is>
          <t>Mel. Especial / Chopo</t>
        </is>
      </c>
      <c r="J46" s="202" t="inlineStr">
        <is>
          <t>Pilar  (Estandar 0,15m)</t>
        </is>
      </c>
      <c r="K46" s="202" t="n"/>
      <c r="L46" s="202" t="inlineStr">
        <is>
          <t>Largo</t>
        </is>
      </c>
      <c r="M46" s="202" t="inlineStr">
        <is>
          <t>Ancho</t>
        </is>
      </c>
      <c r="N46" s="202" t="inlineStr">
        <is>
          <t>Alto</t>
        </is>
      </c>
      <c r="O46" s="202" t="inlineStr">
        <is>
          <t>m2</t>
        </is>
      </c>
      <c r="P46" s="202" t="inlineStr">
        <is>
          <t>UDS</t>
        </is>
      </c>
      <c r="Q46" s="205" t="inlineStr">
        <is>
          <t>€/m2</t>
        </is>
      </c>
      <c r="R46" s="205" t="n">
        <v>150</v>
      </c>
      <c r="S46" s="205" t="n">
        <v>150</v>
      </c>
      <c r="T46" s="202" t="n">
        <v>0</v>
      </c>
      <c r="U46" s="202">
        <f>((F63*G63)*2)+((F63*H63)*2)</f>
        <v/>
      </c>
      <c r="V46" s="202" t="n">
        <v>0</v>
      </c>
      <c r="W46" s="205" t="n">
        <v>0</v>
      </c>
      <c r="X46" s="205">
        <f>IFERROR(ROUNDUP((Q63/I63)/0.5,0)*0.5,0)</f>
        <v/>
      </c>
      <c r="Y46" s="205" t="n">
        <v>0</v>
      </c>
      <c r="Z46" s="205">
        <f>IF(I63=0,J63*K63,I63*J63*K63)</f>
        <v/>
      </c>
      <c r="AA46" s="205" t="n">
        <v>1</v>
      </c>
      <c r="AB46" s="205">
        <f>$N$69</f>
        <v/>
      </c>
      <c r="AC46" s="205" t="n">
        <v>0</v>
      </c>
      <c r="AD46" s="205">
        <f>SUM(M63*N63)+M63</f>
        <v/>
      </c>
    </row>
    <row r="47">
      <c r="A47" s="202" t="inlineStr">
        <is>
          <t>PRESUPUESTO</t>
        </is>
      </c>
      <c r="B47" s="204" t="n">
        <v>66</v>
      </c>
      <c r="C47" s="204" t="n">
        <v>65</v>
      </c>
      <c r="D47" s="202" t="inlineStr">
        <is>
          <t>PODIUM</t>
        </is>
      </c>
      <c r="E47" s="202" t="inlineStr">
        <is>
          <t>podium</t>
        </is>
      </c>
      <c r="F47" s="202" t="inlineStr">
        <is>
          <t>podium_podium_aglomerado_podium</t>
        </is>
      </c>
      <c r="G47" s="202" t="inlineStr">
        <is>
          <t>Podium</t>
        </is>
      </c>
      <c r="H47" s="202" t="inlineStr">
        <is>
          <t>Podium</t>
        </is>
      </c>
      <c r="I47" s="202" t="inlineStr">
        <is>
          <t>Aglomerado</t>
        </is>
      </c>
      <c r="J47" s="202" t="inlineStr">
        <is>
          <t>Podium</t>
        </is>
      </c>
      <c r="K47" s="202" t="inlineStr">
        <is>
          <t>*Lo paso a m3 el precio</t>
        </is>
      </c>
      <c r="L47" s="202" t="inlineStr">
        <is>
          <t>Largo</t>
        </is>
      </c>
      <c r="M47" s="202" t="inlineStr">
        <is>
          <t>Ancho</t>
        </is>
      </c>
      <c r="N47" s="202" t="inlineStr">
        <is>
          <t>Alto</t>
        </is>
      </c>
      <c r="O47" s="202" t="inlineStr">
        <is>
          <t>m3</t>
        </is>
      </c>
      <c r="P47" s="202" t="inlineStr">
        <is>
          <t>UDS</t>
        </is>
      </c>
      <c r="Q47" s="205" t="inlineStr">
        <is>
          <t>€/m3</t>
        </is>
      </c>
      <c r="R47" s="205" t="n">
        <v>220</v>
      </c>
      <c r="S47" s="205" t="n">
        <v>220</v>
      </c>
      <c r="T47" s="202" t="n">
        <v>0</v>
      </c>
      <c r="U47" s="202">
        <f>F66*G66*H66</f>
        <v/>
      </c>
      <c r="V47" s="202" t="n">
        <v>0</v>
      </c>
      <c r="W47" s="205" t="n">
        <v>0</v>
      </c>
      <c r="X47" s="205">
        <f>IFERROR(ROUNDUP((Q66/I66)/0.5,0)*0.5,0)</f>
        <v/>
      </c>
      <c r="Y47" s="205" t="n">
        <v>0</v>
      </c>
      <c r="Z47" s="205">
        <f>IF(I66=0,J66*K66,I66*J66*K66)</f>
        <v/>
      </c>
      <c r="AA47" s="205" t="n">
        <v>1</v>
      </c>
      <c r="AB47" s="205">
        <f>$N$69</f>
        <v/>
      </c>
      <c r="AC47" s="205" t="n">
        <v>0</v>
      </c>
      <c r="AD47" s="205">
        <f>SUM(M66*N66)+M66</f>
        <v/>
      </c>
    </row>
    <row r="48">
      <c r="A48" s="202" t="inlineStr">
        <is>
          <t>PRESUPUESTO</t>
        </is>
      </c>
      <c r="B48" s="204" t="n">
        <v>67</v>
      </c>
      <c r="C48" s="204" t="n">
        <v>65</v>
      </c>
      <c r="D48" s="202" t="inlineStr">
        <is>
          <t>PODIUM</t>
        </is>
      </c>
      <c r="E48" s="202" t="inlineStr">
        <is>
          <t>podium</t>
        </is>
      </c>
      <c r="F48" s="202" t="inlineStr">
        <is>
          <t>podium_podium_melamina_podium</t>
        </is>
      </c>
      <c r="G48" s="202" t="inlineStr">
        <is>
          <t>Podium</t>
        </is>
      </c>
      <c r="H48" s="202" t="inlineStr">
        <is>
          <t>Podium</t>
        </is>
      </c>
      <c r="I48" s="202" t="inlineStr">
        <is>
          <t>Melamina</t>
        </is>
      </c>
      <c r="J48" s="202" t="inlineStr">
        <is>
          <t>Podium</t>
        </is>
      </c>
      <c r="K48" s="202" t="inlineStr">
        <is>
          <t>*Lo paso a m3 el precio</t>
        </is>
      </c>
      <c r="L48" s="202" t="inlineStr">
        <is>
          <t>Largo</t>
        </is>
      </c>
      <c r="M48" s="202" t="inlineStr">
        <is>
          <t>Ancho</t>
        </is>
      </c>
      <c r="N48" s="202" t="inlineStr">
        <is>
          <t>Alto</t>
        </is>
      </c>
      <c r="O48" s="202" t="inlineStr">
        <is>
          <t>m3</t>
        </is>
      </c>
      <c r="P48" s="202" t="inlineStr">
        <is>
          <t>UDS</t>
        </is>
      </c>
      <c r="Q48" s="205" t="inlineStr">
        <is>
          <t>€/m3</t>
        </is>
      </c>
      <c r="R48" s="205" t="n">
        <v>250</v>
      </c>
      <c r="S48" s="205" t="n">
        <v>250</v>
      </c>
      <c r="T48" s="202" t="n">
        <v>0</v>
      </c>
      <c r="U48" s="202">
        <f>F67*G67*H67</f>
        <v/>
      </c>
      <c r="V48" s="202" t="n">
        <v>0</v>
      </c>
      <c r="W48" s="205" t="n">
        <v>0</v>
      </c>
      <c r="X48" s="205">
        <f>IFERROR(ROUNDUP((Q67/I67)/0.5,0)*0.5,0)</f>
        <v/>
      </c>
      <c r="Y48" s="205" t="n">
        <v>0</v>
      </c>
      <c r="Z48" s="205">
        <f>IF(I67=0,J67*K67,I67*J67*K67)</f>
        <v/>
      </c>
      <c r="AA48" s="205" t="n">
        <v>1</v>
      </c>
      <c r="AB48" s="205">
        <f>$N$69</f>
        <v/>
      </c>
      <c r="AC48" s="205" t="n">
        <v>0</v>
      </c>
      <c r="AD48" s="205">
        <f>SUM(M67*N67)+M67</f>
        <v/>
      </c>
    </row>
    <row r="49">
      <c r="A49" s="202" t="inlineStr">
        <is>
          <t>PRESUPUESTO</t>
        </is>
      </c>
      <c r="B49" s="204" t="n">
        <v>68</v>
      </c>
      <c r="C49" s="204" t="n">
        <v>65</v>
      </c>
      <c r="D49" s="202" t="inlineStr">
        <is>
          <t>PODIUM</t>
        </is>
      </c>
      <c r="E49" s="202" t="inlineStr">
        <is>
          <t>podium</t>
        </is>
      </c>
      <c r="F49" s="202" t="inlineStr">
        <is>
          <t>podium_podium_mel_especial_chopo_podium</t>
        </is>
      </c>
      <c r="G49" s="202" t="inlineStr">
        <is>
          <t>Podium</t>
        </is>
      </c>
      <c r="H49" s="202" t="inlineStr">
        <is>
          <t>Podium</t>
        </is>
      </c>
      <c r="I49" s="202" t="inlineStr">
        <is>
          <t>Mel. Especial / Chopo</t>
        </is>
      </c>
      <c r="J49" s="202" t="inlineStr">
        <is>
          <t>Podium</t>
        </is>
      </c>
      <c r="K49" s="202" t="inlineStr">
        <is>
          <t>*Lo paso a m3 el precio</t>
        </is>
      </c>
      <c r="L49" s="202" t="inlineStr">
        <is>
          <t>Largo</t>
        </is>
      </c>
      <c r="M49" s="202" t="inlineStr">
        <is>
          <t>Ancho</t>
        </is>
      </c>
      <c r="N49" s="202" t="inlineStr">
        <is>
          <t>Alto</t>
        </is>
      </c>
      <c r="O49" s="202" t="inlineStr">
        <is>
          <t>m3</t>
        </is>
      </c>
      <c r="P49" s="202" t="inlineStr">
        <is>
          <t>UDS</t>
        </is>
      </c>
      <c r="Q49" s="205" t="inlineStr">
        <is>
          <t>€/m3</t>
        </is>
      </c>
      <c r="R49" s="205" t="n">
        <v>300</v>
      </c>
      <c r="S49" s="205" t="n">
        <v>300</v>
      </c>
      <c r="T49" s="202" t="n">
        <v>0</v>
      </c>
      <c r="U49" s="202">
        <f>F68*G68*H68</f>
        <v/>
      </c>
      <c r="V49" s="202" t="n">
        <v>0</v>
      </c>
      <c r="W49" s="205" t="n">
        <v>0</v>
      </c>
      <c r="X49" s="205">
        <f>IFERROR(ROUNDUP((Q68/I68)/0.5,0)*0.5,0)</f>
        <v/>
      </c>
      <c r="Y49" s="205" t="n">
        <v>0</v>
      </c>
      <c r="Z49" s="205">
        <f>IF(I68=0,J68*K68,I68*J68*K68)</f>
        <v/>
      </c>
      <c r="AA49" s="205" t="n">
        <v>1</v>
      </c>
      <c r="AB49" s="205">
        <f>$N$69</f>
        <v/>
      </c>
      <c r="AC49" s="205" t="n">
        <v>0</v>
      </c>
      <c r="AD49" s="205">
        <f>SUM(M68*N68)+M68</f>
        <v/>
      </c>
    </row>
    <row r="50">
      <c r="A50" s="202" t="inlineStr">
        <is>
          <t>PRESUPUESTO</t>
        </is>
      </c>
      <c r="B50" s="204" t="n">
        <v>71</v>
      </c>
      <c r="C50" s="204" t="n">
        <v>70</v>
      </c>
      <c r="D50" s="202" t="inlineStr">
        <is>
          <t>TECHOS</t>
        </is>
      </c>
      <c r="E50" s="202" t="inlineStr">
        <is>
          <t>techos</t>
        </is>
      </c>
      <c r="F50" s="202" t="inlineStr">
        <is>
          <t>techos_techos_chopo_pino_techo_bastidor_pino_chopo_5mm</t>
        </is>
      </c>
      <c r="G50" s="202" t="inlineStr">
        <is>
          <t>Techos</t>
        </is>
      </c>
      <c r="H50" s="202" t="inlineStr">
        <is>
          <t>Techos</t>
        </is>
      </c>
      <c r="I50" s="202" t="inlineStr">
        <is>
          <t>Chopo + Pino</t>
        </is>
      </c>
      <c r="J50" s="202" t="inlineStr">
        <is>
          <t>Techo Bastidor pino Chopo 5mm</t>
        </is>
      </c>
      <c r="K50" s="202" t="n"/>
      <c r="L50" s="202" t="inlineStr">
        <is>
          <t>Largo</t>
        </is>
      </c>
      <c r="M50" s="202" t="inlineStr">
        <is>
          <t>Ancho</t>
        </is>
      </c>
      <c r="N50" s="202" t="inlineStr">
        <is>
          <t>Alto</t>
        </is>
      </c>
      <c r="O50" s="202" t="inlineStr">
        <is>
          <t>m2</t>
        </is>
      </c>
      <c r="P50" s="202" t="inlineStr">
        <is>
          <t>UDS</t>
        </is>
      </c>
      <c r="Q50" s="205" t="inlineStr">
        <is>
          <t>€/m3</t>
        </is>
      </c>
      <c r="R50" s="205" t="n">
        <v>28</v>
      </c>
      <c r="S50" s="205" t="n">
        <v>28</v>
      </c>
      <c r="T50" s="202" t="n">
        <v>0</v>
      </c>
      <c r="U50" s="202">
        <f>F71*G71</f>
        <v/>
      </c>
      <c r="V50" s="202" t="n">
        <v>0</v>
      </c>
      <c r="W50" s="205" t="n">
        <v>0</v>
      </c>
      <c r="X50" s="205">
        <f>IFERROR(ROUNDUP((Q71/I71)/0.5,0)*0.5,0)</f>
        <v/>
      </c>
      <c r="Y50" s="205" t="n">
        <v>0</v>
      </c>
      <c r="Z50" s="205">
        <f>IF(I71=0,J71*K71,I71*J71*K71)</f>
        <v/>
      </c>
      <c r="AA50" s="205" t="n">
        <v>1</v>
      </c>
      <c r="AB50" s="205">
        <f>$N$74</f>
        <v/>
      </c>
      <c r="AC50" s="205" t="n">
        <v>0</v>
      </c>
      <c r="AD50" s="205">
        <f>SUM(M71*N71)+M71</f>
        <v/>
      </c>
    </row>
    <row r="51">
      <c r="A51" s="202" t="inlineStr">
        <is>
          <t>PRESUPUESTO</t>
        </is>
      </c>
      <c r="B51" s="204" t="n">
        <v>72</v>
      </c>
      <c r="C51" s="204" t="n">
        <v>70</v>
      </c>
      <c r="D51" s="202" t="inlineStr">
        <is>
          <t>TECHOS</t>
        </is>
      </c>
      <c r="E51" s="202" t="inlineStr">
        <is>
          <t>techos</t>
        </is>
      </c>
      <c r="F51" s="202" t="inlineStr">
        <is>
          <t>techos_techos_chopo_chopo_de_15mm_chopo_de_5mm</t>
        </is>
      </c>
      <c r="G51" s="202" t="inlineStr">
        <is>
          <t>Techos</t>
        </is>
      </c>
      <c r="H51" s="202" t="inlineStr">
        <is>
          <t>Techos</t>
        </is>
      </c>
      <c r="I51" s="202" t="inlineStr">
        <is>
          <t>Chopo</t>
        </is>
      </c>
      <c r="J51" s="202" t="inlineStr">
        <is>
          <t>Chopo de 15mm + Chopo de 5mm</t>
        </is>
      </c>
      <c r="K51" s="202" t="n"/>
      <c r="L51" s="202" t="inlineStr">
        <is>
          <t>Largo</t>
        </is>
      </c>
      <c r="M51" s="202" t="inlineStr">
        <is>
          <t>Ancho</t>
        </is>
      </c>
      <c r="N51" s="202" t="inlineStr">
        <is>
          <t>Alto</t>
        </is>
      </c>
      <c r="O51" s="202" t="inlineStr">
        <is>
          <t>m2</t>
        </is>
      </c>
      <c r="P51" s="202" t="inlineStr">
        <is>
          <t>UDS</t>
        </is>
      </c>
      <c r="Q51" s="205" t="inlineStr">
        <is>
          <t>€/m3</t>
        </is>
      </c>
      <c r="R51" s="205" t="n">
        <v>25</v>
      </c>
      <c r="S51" s="205" t="n">
        <v>25</v>
      </c>
      <c r="T51" s="202" t="n">
        <v>0</v>
      </c>
      <c r="U51" s="202">
        <f>F72*G72</f>
        <v/>
      </c>
      <c r="V51" s="202" t="n">
        <v>0</v>
      </c>
      <c r="W51" s="205" t="n">
        <v>0</v>
      </c>
      <c r="X51" s="205">
        <f>IFERROR(ROUNDUP((Q72/I72)/0.5,0)*0.5,0)</f>
        <v/>
      </c>
      <c r="Y51" s="205" t="n">
        <v>0</v>
      </c>
      <c r="Z51" s="205">
        <f>IF(I72=0,J72*K72,I72*J72*K72)</f>
        <v/>
      </c>
      <c r="AA51" s="205" t="n">
        <v>1</v>
      </c>
      <c r="AB51" s="205">
        <f>$N$74</f>
        <v/>
      </c>
      <c r="AC51" s="205" t="n">
        <v>0</v>
      </c>
      <c r="AD51" s="205">
        <f>SUM(M72*N72)+M72</f>
        <v/>
      </c>
    </row>
    <row r="52">
      <c r="A52" s="202" t="inlineStr">
        <is>
          <t>PRESUPUESTO</t>
        </is>
      </c>
      <c r="B52" s="204" t="n">
        <v>73</v>
      </c>
      <c r="C52" s="204" t="n">
        <v>70</v>
      </c>
      <c r="D52" s="202" t="inlineStr">
        <is>
          <t>TECHOS</t>
        </is>
      </c>
      <c r="E52" s="202" t="inlineStr">
        <is>
          <t>techos</t>
        </is>
      </c>
      <c r="F52" s="202" t="inlineStr">
        <is>
          <t>techos_aislante_lana_roca_panel_acustico</t>
        </is>
      </c>
      <c r="G52" s="202" t="inlineStr">
        <is>
          <t>Techos</t>
        </is>
      </c>
      <c r="H52" s="202" t="inlineStr">
        <is>
          <t>Aislante</t>
        </is>
      </c>
      <c r="I52" s="202" t="inlineStr">
        <is>
          <t>Lana Roca</t>
        </is>
      </c>
      <c r="J52" s="202" t="inlineStr">
        <is>
          <t>Panel acustico</t>
        </is>
      </c>
      <c r="K52" s="202" t="n"/>
      <c r="L52" s="202" t="inlineStr">
        <is>
          <t>Largo</t>
        </is>
      </c>
      <c r="M52" s="202" t="inlineStr">
        <is>
          <t>Ancho</t>
        </is>
      </c>
      <c r="N52" s="202" t="inlineStr">
        <is>
          <t>Alto</t>
        </is>
      </c>
      <c r="O52" s="202" t="inlineStr">
        <is>
          <t>m2</t>
        </is>
      </c>
      <c r="P52" s="202" t="inlineStr">
        <is>
          <t>UDS</t>
        </is>
      </c>
      <c r="Q52" s="205" t="inlineStr">
        <is>
          <t>€/m3</t>
        </is>
      </c>
      <c r="R52" s="205" t="n">
        <v>3</v>
      </c>
      <c r="S52" s="205" t="n">
        <v>3</v>
      </c>
      <c r="T52" s="202" t="n">
        <v>0</v>
      </c>
      <c r="U52" s="202">
        <f>F73*G73</f>
        <v/>
      </c>
      <c r="V52" s="202" t="n">
        <v>0</v>
      </c>
      <c r="W52" s="205" t="n">
        <v>0</v>
      </c>
      <c r="X52" s="205">
        <f>IFERROR(ROUNDUP((Q73/I73)/0.5,0)*0.5,0)</f>
        <v/>
      </c>
      <c r="Y52" s="205" t="n">
        <v>0</v>
      </c>
      <c r="Z52" s="205">
        <f>IF(I73=0,J73*K73,I73*J73*K73)</f>
        <v/>
      </c>
      <c r="AA52" s="205" t="n">
        <v>1</v>
      </c>
      <c r="AB52" s="205">
        <f>$N$46</f>
        <v/>
      </c>
      <c r="AC52" s="205" t="n">
        <v>0</v>
      </c>
      <c r="AD52" s="205">
        <f>SUM(M73*N73)+M73</f>
        <v/>
      </c>
    </row>
    <row r="53">
      <c r="A53" s="202" t="inlineStr">
        <is>
          <t>PRESUPUESTO</t>
        </is>
      </c>
      <c r="B53" s="204" t="n">
        <v>76</v>
      </c>
      <c r="C53" s="204" t="n">
        <v>75</v>
      </c>
      <c r="D53" s="202" t="inlineStr">
        <is>
          <t>BACKLIGHTS</t>
        </is>
      </c>
      <c r="E53" s="202" t="inlineStr">
        <is>
          <t>backlights</t>
        </is>
      </c>
      <c r="F53" s="202" t="inlineStr">
        <is>
          <t>backlights_backlights_chopo_pino_aglo_backlights_bastidor_pino_lateral_chopo10mm_trasera_aglo_16mm_g_estandar_0_3m</t>
        </is>
      </c>
      <c r="G53" s="202" t="inlineStr">
        <is>
          <t>Backlights</t>
        </is>
      </c>
      <c r="H53" s="202" t="inlineStr">
        <is>
          <t>Backlights</t>
        </is>
      </c>
      <c r="I53" s="202" t="inlineStr">
        <is>
          <t>Chopo + Pino + Aglo.</t>
        </is>
      </c>
      <c r="J53" s="202" t="inlineStr">
        <is>
          <t>Backlights: Bastidor Pino+Lateral Chopo10mm+Trasera Aglo.16mm (G. Estandar 0,3m)</t>
        </is>
      </c>
      <c r="K53" s="202" t="n"/>
      <c r="L53" s="202" t="inlineStr">
        <is>
          <t>Largo</t>
        </is>
      </c>
      <c r="M53" s="202" t="inlineStr">
        <is>
          <t>Altura</t>
        </is>
      </c>
      <c r="N53" s="202" t="inlineStr">
        <is>
          <t>Grosor</t>
        </is>
      </c>
      <c r="O53" s="202" t="inlineStr">
        <is>
          <t>m2</t>
        </is>
      </c>
      <c r="P53" s="202" t="inlineStr">
        <is>
          <t>UDS</t>
        </is>
      </c>
      <c r="Q53" s="205" t="inlineStr">
        <is>
          <t>€/m2</t>
        </is>
      </c>
      <c r="R53" s="205" t="n">
        <v>220</v>
      </c>
      <c r="S53" s="205" t="n">
        <v>220</v>
      </c>
      <c r="T53" s="202" t="n">
        <v>0</v>
      </c>
      <c r="U53" s="202">
        <f>F76*G76</f>
        <v/>
      </c>
      <c r="V53" s="202" t="n">
        <v>0</v>
      </c>
      <c r="W53" s="205" t="n">
        <v>0</v>
      </c>
      <c r="X53" s="205">
        <f>IFERROR(ROUNDUP((Q76/I76)/0.5,0)*0.5,0)</f>
        <v/>
      </c>
      <c r="Y53" s="205" t="n">
        <v>0</v>
      </c>
      <c r="Z53" s="205">
        <f>IF(I76=0,J76*K76,I76*J76*K76)</f>
        <v/>
      </c>
      <c r="AA53" s="205" t="n">
        <v>1</v>
      </c>
      <c r="AB53" s="205">
        <f>$N$78</f>
        <v/>
      </c>
      <c r="AC53" s="205" t="n">
        <v>0</v>
      </c>
      <c r="AD53" s="205">
        <f>SUM(M76*N76)+M76</f>
        <v/>
      </c>
    </row>
    <row r="54">
      <c r="A54" s="202" t="inlineStr">
        <is>
          <t>PRESUPUESTO</t>
        </is>
      </c>
      <c r="B54" s="204" t="n">
        <v>77</v>
      </c>
      <c r="C54" s="204" t="n">
        <v>75</v>
      </c>
      <c r="D54" s="202" t="inlineStr">
        <is>
          <t>BACKLIGHTS</t>
        </is>
      </c>
      <c r="E54" s="202" t="inlineStr">
        <is>
          <t>backlights</t>
        </is>
      </c>
      <c r="F54" s="202" t="inlineStr">
        <is>
          <t>backlights_backlights_chopo_pino_backlights_elevado_bastidor_pino_lateral_y_trasera_chopo_10mm_g_estandar_0_3m</t>
        </is>
      </c>
      <c r="G54" s="202" t="inlineStr">
        <is>
          <t>Backlights</t>
        </is>
      </c>
      <c r="H54" s="202" t="inlineStr">
        <is>
          <t>Backlights</t>
        </is>
      </c>
      <c r="I54" s="202" t="inlineStr">
        <is>
          <t xml:space="preserve">Chopo + Pino </t>
        </is>
      </c>
      <c r="J54" s="202" t="inlineStr">
        <is>
          <t>Backlights Elevado:  Bastidor Pino + Lateral y trasera Chopo 10mm (G. Estandar 0,3m)</t>
        </is>
      </c>
      <c r="K54" s="202" t="n"/>
      <c r="L54" s="202" t="inlineStr">
        <is>
          <t>Largo</t>
        </is>
      </c>
      <c r="M54" s="202" t="inlineStr">
        <is>
          <t>Altura</t>
        </is>
      </c>
      <c r="N54" s="202" t="inlineStr">
        <is>
          <t>Grosor</t>
        </is>
      </c>
      <c r="O54" s="202" t="inlineStr">
        <is>
          <t>m2</t>
        </is>
      </c>
      <c r="P54" s="202" t="inlineStr">
        <is>
          <t>UDS</t>
        </is>
      </c>
      <c r="Q54" s="205" t="inlineStr">
        <is>
          <t>€/m2</t>
        </is>
      </c>
      <c r="R54" s="205" t="n">
        <v>220</v>
      </c>
      <c r="S54" s="205" t="n">
        <v>220</v>
      </c>
      <c r="T54" s="202" t="n">
        <v>0</v>
      </c>
      <c r="U54" s="202">
        <f>F77*G77</f>
        <v/>
      </c>
      <c r="V54" s="202" t="n">
        <v>0</v>
      </c>
      <c r="W54" s="205" t="n">
        <v>0</v>
      </c>
      <c r="X54" s="205">
        <f>IFERROR(ROUNDUP((Q77/I77)/0.5,0)*0.5,0)</f>
        <v/>
      </c>
      <c r="Y54" s="205" t="n">
        <v>0</v>
      </c>
      <c r="Z54" s="205">
        <f>IF(I77=0,J77*K77,I77*J77*K77)</f>
        <v/>
      </c>
      <c r="AA54" s="205" t="n">
        <v>1</v>
      </c>
      <c r="AB54" s="205">
        <f>$N$78</f>
        <v/>
      </c>
      <c r="AC54" s="205" t="n">
        <v>0</v>
      </c>
      <c r="AD54" s="205">
        <f>SUM(M77*N77)+M77</f>
        <v/>
      </c>
    </row>
    <row r="55">
      <c r="A55" s="202" t="inlineStr">
        <is>
          <t>PRESUPUESTO</t>
        </is>
      </c>
      <c r="B55" s="204" t="n">
        <v>80</v>
      </c>
      <c r="C55" s="204" t="n">
        <v>79</v>
      </c>
      <c r="D55" s="202" t="inlineStr">
        <is>
          <t>LISTONES</t>
        </is>
      </c>
      <c r="E55" s="202" t="inlineStr">
        <is>
          <t>liston</t>
        </is>
      </c>
      <c r="F55" s="202" t="inlineStr">
        <is>
          <t>liston_liston_pino_liston_flandes_45_45</t>
        </is>
      </c>
      <c r="G55" s="202" t="inlineStr">
        <is>
          <t>Liston</t>
        </is>
      </c>
      <c r="H55" s="202" t="inlineStr">
        <is>
          <t>Liston</t>
        </is>
      </c>
      <c r="I55" s="202" t="inlineStr">
        <is>
          <t>Pino</t>
        </is>
      </c>
      <c r="J55" s="202" t="inlineStr">
        <is>
          <t>Liston Flandes  45*45</t>
        </is>
      </c>
      <c r="K55" s="202" t="n"/>
      <c r="L55" s="202" t="inlineStr">
        <is>
          <t>Largo</t>
        </is>
      </c>
      <c r="M55" s="202" t="inlineStr">
        <is>
          <t>Altura</t>
        </is>
      </c>
      <c r="N55" s="202" t="inlineStr">
        <is>
          <t>Grosor</t>
        </is>
      </c>
      <c r="O55" s="202" t="inlineStr">
        <is>
          <t>ml</t>
        </is>
      </c>
      <c r="P55" s="202" t="inlineStr">
        <is>
          <t>UDS</t>
        </is>
      </c>
      <c r="Q55" s="205" t="inlineStr">
        <is>
          <t>€/ml</t>
        </is>
      </c>
      <c r="R55" s="205" t="n">
        <v>1.5075</v>
      </c>
      <c r="S55" s="205" t="n">
        <v>1.5075</v>
      </c>
      <c r="T55" s="202" t="n">
        <v>0</v>
      </c>
      <c r="U55" s="202" t="n"/>
      <c r="V55" s="202" t="n">
        <v>0</v>
      </c>
      <c r="W55" s="205" t="n">
        <v>0</v>
      </c>
      <c r="X55" s="205">
        <f>IFERROR(ROUNDUP((Q80/I80)/0.5,0)*0.5,0)</f>
        <v/>
      </c>
      <c r="Y55" s="205" t="n">
        <v>0</v>
      </c>
      <c r="Z55" s="205">
        <f>IF(I80=0,J80*K80,I80*J80*K80)</f>
        <v/>
      </c>
      <c r="AA55" s="205" t="n">
        <v>1</v>
      </c>
      <c r="AB55" s="205">
        <f>$N$87</f>
        <v/>
      </c>
      <c r="AC55" s="205" t="n">
        <v>0</v>
      </c>
      <c r="AD55" s="205">
        <f>SUM(M80*N80)+M80</f>
        <v/>
      </c>
    </row>
    <row r="56">
      <c r="A56" s="202" t="inlineStr">
        <is>
          <t>PRESUPUESTO</t>
        </is>
      </c>
      <c r="B56" s="204" t="n">
        <v>81</v>
      </c>
      <c r="C56" s="204" t="n">
        <v>79</v>
      </c>
      <c r="D56" s="202" t="inlineStr">
        <is>
          <t>LISTONES</t>
        </is>
      </c>
      <c r="E56" s="202" t="inlineStr">
        <is>
          <t>liston</t>
        </is>
      </c>
      <c r="F56" s="202" t="inlineStr">
        <is>
          <t>liston_liston_pino_liston_flandes_45_70</t>
        </is>
      </c>
      <c r="G56" s="202" t="inlineStr">
        <is>
          <t>Liston</t>
        </is>
      </c>
      <c r="H56" s="202" t="inlineStr">
        <is>
          <t>Liston</t>
        </is>
      </c>
      <c r="I56" s="202" t="inlineStr">
        <is>
          <t>Pino</t>
        </is>
      </c>
      <c r="J56" s="202" t="inlineStr">
        <is>
          <t>Liston Flandes  45*70</t>
        </is>
      </c>
      <c r="K56" s="202" t="n"/>
      <c r="L56" s="202" t="inlineStr">
        <is>
          <t>Largo</t>
        </is>
      </c>
      <c r="M56" s="202" t="inlineStr">
        <is>
          <t>Altura</t>
        </is>
      </c>
      <c r="N56" s="202" t="inlineStr">
        <is>
          <t>Grosor</t>
        </is>
      </c>
      <c r="O56" s="202" t="inlineStr">
        <is>
          <t>ml</t>
        </is>
      </c>
      <c r="P56" s="202" t="inlineStr">
        <is>
          <t>UDS</t>
        </is>
      </c>
      <c r="Q56" s="205" t="inlineStr">
        <is>
          <t>€/ml</t>
        </is>
      </c>
      <c r="R56" s="205" t="n">
        <v>1.8</v>
      </c>
      <c r="S56" s="205" t="n">
        <v>1.8</v>
      </c>
      <c r="T56" s="202" t="n">
        <v>0</v>
      </c>
      <c r="U56" s="202" t="n"/>
      <c r="V56" s="202" t="n">
        <v>0</v>
      </c>
      <c r="W56" s="205" t="n">
        <v>0</v>
      </c>
      <c r="X56" s="205">
        <f>IFERROR(ROUNDUP((Q81/I81)/0.5,0)*0.5,0)</f>
        <v/>
      </c>
      <c r="Y56" s="205" t="n">
        <v>0</v>
      </c>
      <c r="Z56" s="205">
        <f>IF(I81=0,J81*K81,I81*J81*K81)</f>
        <v/>
      </c>
      <c r="AA56" s="205" t="n">
        <v>1</v>
      </c>
      <c r="AB56" s="205">
        <f>$N$87</f>
        <v/>
      </c>
      <c r="AC56" s="205" t="n">
        <v>0</v>
      </c>
      <c r="AD56" s="205">
        <f>SUM(M81*N81)+M81</f>
        <v/>
      </c>
    </row>
    <row r="57">
      <c r="A57" s="202" t="inlineStr">
        <is>
          <t>PRESUPUESTO</t>
        </is>
      </c>
      <c r="B57" s="204" t="n">
        <v>82</v>
      </c>
      <c r="C57" s="204" t="n">
        <v>79</v>
      </c>
      <c r="D57" s="202" t="inlineStr">
        <is>
          <t>LISTONES</t>
        </is>
      </c>
      <c r="E57" s="202" t="inlineStr">
        <is>
          <t>liston</t>
        </is>
      </c>
      <c r="F57" s="202" t="inlineStr">
        <is>
          <t>liston_liston_abeto_liston_abeto_120_60</t>
        </is>
      </c>
      <c r="G57" s="202" t="inlineStr">
        <is>
          <t>Liston</t>
        </is>
      </c>
      <c r="H57" s="202" t="inlineStr">
        <is>
          <t>Liston</t>
        </is>
      </c>
      <c r="I57" s="202" t="inlineStr">
        <is>
          <t>Abeto</t>
        </is>
      </c>
      <c r="J57" s="202" t="inlineStr">
        <is>
          <t>Liston Abeto 120*60</t>
        </is>
      </c>
      <c r="K57" s="202" t="n"/>
      <c r="L57" s="202" t="inlineStr">
        <is>
          <t>Largo</t>
        </is>
      </c>
      <c r="M57" s="202" t="inlineStr">
        <is>
          <t>Altura</t>
        </is>
      </c>
      <c r="N57" s="202" t="inlineStr">
        <is>
          <t>Grosor</t>
        </is>
      </c>
      <c r="O57" s="202" t="inlineStr">
        <is>
          <t>ml</t>
        </is>
      </c>
      <c r="P57" s="202" t="inlineStr">
        <is>
          <t>UDS</t>
        </is>
      </c>
      <c r="Q57" s="205" t="inlineStr">
        <is>
          <t>€/ml</t>
        </is>
      </c>
      <c r="R57" s="205" t="n">
        <v>11.5</v>
      </c>
      <c r="S57" s="205" t="n">
        <v>11.5</v>
      </c>
      <c r="T57" s="202" t="n">
        <v>0</v>
      </c>
      <c r="U57" s="202" t="n"/>
      <c r="V57" s="202" t="n">
        <v>0</v>
      </c>
      <c r="W57" s="205" t="n">
        <v>0</v>
      </c>
      <c r="X57" s="205">
        <f>IFERROR(ROUNDUP((Q82/I82)/0.5,0)*0.5,0)</f>
        <v/>
      </c>
      <c r="Y57" s="205" t="n">
        <v>0</v>
      </c>
      <c r="Z57" s="205">
        <f>IF(I82=0,J82*K82,I82*J82*K82)</f>
        <v/>
      </c>
      <c r="AA57" s="205" t="n">
        <v>1</v>
      </c>
      <c r="AB57" s="205">
        <f>$N$87</f>
        <v/>
      </c>
      <c r="AC57" s="205" t="n">
        <v>0</v>
      </c>
      <c r="AD57" s="205">
        <f>SUM(M82*N82)+M82</f>
        <v/>
      </c>
    </row>
    <row r="58">
      <c r="A58" s="202" t="inlineStr">
        <is>
          <t>PRESUPUESTO</t>
        </is>
      </c>
      <c r="B58" s="204" t="n">
        <v>83</v>
      </c>
      <c r="C58" s="204" t="n">
        <v>79</v>
      </c>
      <c r="D58" s="202" t="inlineStr">
        <is>
          <t>LISTONES</t>
        </is>
      </c>
      <c r="E58" s="202" t="inlineStr">
        <is>
          <t>liston</t>
        </is>
      </c>
      <c r="F58" s="202" t="inlineStr">
        <is>
          <t>liston_liston_abeto_liston_abeto_120_120</t>
        </is>
      </c>
      <c r="G58" s="202" t="inlineStr">
        <is>
          <t>Liston</t>
        </is>
      </c>
      <c r="H58" s="202" t="inlineStr">
        <is>
          <t>Liston</t>
        </is>
      </c>
      <c r="I58" s="202" t="inlineStr">
        <is>
          <t>Abeto</t>
        </is>
      </c>
      <c r="J58" s="202" t="inlineStr">
        <is>
          <t>Liston Abeto 120*120</t>
        </is>
      </c>
      <c r="K58" s="202" t="n"/>
      <c r="L58" s="202" t="inlineStr">
        <is>
          <t>Largo</t>
        </is>
      </c>
      <c r="M58" s="202" t="inlineStr">
        <is>
          <t>Altura</t>
        </is>
      </c>
      <c r="N58" s="202" t="inlineStr">
        <is>
          <t>Grosor</t>
        </is>
      </c>
      <c r="O58" s="202" t="inlineStr">
        <is>
          <t>ml</t>
        </is>
      </c>
      <c r="P58" s="202" t="inlineStr">
        <is>
          <t>UDS</t>
        </is>
      </c>
      <c r="Q58" s="205" t="inlineStr">
        <is>
          <t>€/ml</t>
        </is>
      </c>
      <c r="R58" s="205" t="n">
        <v>82</v>
      </c>
      <c r="S58" s="205" t="n">
        <v>82</v>
      </c>
      <c r="T58" s="202" t="n">
        <v>0</v>
      </c>
      <c r="U58" s="202" t="n"/>
      <c r="V58" s="202" t="n">
        <v>0</v>
      </c>
      <c r="W58" s="205" t="n">
        <v>0</v>
      </c>
      <c r="X58" s="205">
        <f>IFERROR(ROUNDUP((Q83/I83)/0.5,0)*0.5,0)</f>
        <v/>
      </c>
      <c r="Y58" s="205" t="n">
        <v>0</v>
      </c>
      <c r="Z58" s="205">
        <f>IF(I83=0,J83*K83,I83*J83*K83)</f>
        <v/>
      </c>
      <c r="AA58" s="205" t="n">
        <v>1</v>
      </c>
      <c r="AB58" s="205">
        <f>$N$87</f>
        <v/>
      </c>
      <c r="AC58" s="205" t="n">
        <v>0</v>
      </c>
      <c r="AD58" s="205">
        <f>SUM(M83*N83)+M83</f>
        <v/>
      </c>
    </row>
    <row r="59">
      <c r="A59" s="202" t="inlineStr">
        <is>
          <t>PRESUPUESTO</t>
        </is>
      </c>
      <c r="B59" s="204" t="n">
        <v>84</v>
      </c>
      <c r="C59" s="204" t="n">
        <v>79</v>
      </c>
      <c r="D59" s="202" t="inlineStr">
        <is>
          <t>LISTONES</t>
        </is>
      </c>
      <c r="E59" s="202" t="inlineStr">
        <is>
          <t>perfil</t>
        </is>
      </c>
      <c r="F59" s="202" t="inlineStr">
        <is>
          <t>perfil_perfil_aluminio_pletina_20_3_negro_brillante</t>
        </is>
      </c>
      <c r="G59" s="202" t="inlineStr">
        <is>
          <t xml:space="preserve">Perfil </t>
        </is>
      </c>
      <c r="H59" s="202" t="inlineStr">
        <is>
          <t xml:space="preserve">Perfil </t>
        </is>
      </c>
      <c r="I59" s="202" t="inlineStr">
        <is>
          <t>Aluminio</t>
        </is>
      </c>
      <c r="J59" s="202" t="inlineStr">
        <is>
          <t>Pletina 20*3 Negro Brillante</t>
        </is>
      </c>
      <c r="K59" s="202" t="inlineStr">
        <is>
          <t>*New</t>
        </is>
      </c>
      <c r="L59" s="202" t="inlineStr">
        <is>
          <t>Largo</t>
        </is>
      </c>
      <c r="M59" s="202" t="inlineStr">
        <is>
          <t>Altura</t>
        </is>
      </c>
      <c r="N59" s="202" t="inlineStr">
        <is>
          <t>Grosor</t>
        </is>
      </c>
      <c r="O59" s="202" t="inlineStr">
        <is>
          <t>ml</t>
        </is>
      </c>
      <c r="P59" s="202" t="inlineStr">
        <is>
          <t>UDS</t>
        </is>
      </c>
      <c r="Q59" s="205" t="inlineStr">
        <is>
          <t>€/ml</t>
        </is>
      </c>
      <c r="R59" s="205" t="n">
        <v>5</v>
      </c>
      <c r="S59" s="205" t="n">
        <v>5</v>
      </c>
      <c r="T59" s="202" t="n">
        <v>0</v>
      </c>
      <c r="U59" s="202" t="n"/>
      <c r="V59" s="202" t="n">
        <v>0</v>
      </c>
      <c r="W59" s="205" t="n">
        <v>0</v>
      </c>
      <c r="X59" s="205">
        <f>IFERROR(ROUNDUP((Q84/I84)/0.5,0)*0.5,0)</f>
        <v/>
      </c>
      <c r="Y59" s="205" t="n">
        <v>0</v>
      </c>
      <c r="Z59" s="205">
        <f>IF(I84=0,J84*K84,I84*J84*K84)</f>
        <v/>
      </c>
      <c r="AA59" s="205" t="n">
        <v>1</v>
      </c>
      <c r="AB59" s="205">
        <f>$N$87</f>
        <v/>
      </c>
      <c r="AC59" s="205" t="n">
        <v>0</v>
      </c>
      <c r="AD59" s="205">
        <f>SUM(M84*N84)+M84</f>
        <v/>
      </c>
    </row>
    <row r="60">
      <c r="A60" s="202" t="inlineStr">
        <is>
          <t>PRESUPUESTO</t>
        </is>
      </c>
      <c r="B60" s="204" t="n">
        <v>85</v>
      </c>
      <c r="C60" s="204" t="n">
        <v>79</v>
      </c>
      <c r="D60" s="202" t="inlineStr">
        <is>
          <t>LISTONES</t>
        </is>
      </c>
      <c r="E60" s="202" t="inlineStr">
        <is>
          <t>perfil</t>
        </is>
      </c>
      <c r="F60" s="202" t="inlineStr">
        <is>
          <t>perfil_perfil_aluminio_para_textiles_silicona</t>
        </is>
      </c>
      <c r="G60" s="202" t="inlineStr">
        <is>
          <t xml:space="preserve">Perfil </t>
        </is>
      </c>
      <c r="H60" s="202" t="inlineStr">
        <is>
          <t xml:space="preserve">Perfil </t>
        </is>
      </c>
      <c r="I60" s="202" t="inlineStr">
        <is>
          <t>Aluminio</t>
        </is>
      </c>
      <c r="J60" s="202" t="inlineStr">
        <is>
          <t>Para Textiles Silicona</t>
        </is>
      </c>
      <c r="K60" s="202" t="n"/>
      <c r="L60" s="202" t="inlineStr">
        <is>
          <t>Largo</t>
        </is>
      </c>
      <c r="M60" s="202" t="inlineStr">
        <is>
          <t>Altura</t>
        </is>
      </c>
      <c r="N60" s="202" t="inlineStr">
        <is>
          <t>Grosor</t>
        </is>
      </c>
      <c r="O60" s="202" t="inlineStr">
        <is>
          <t>ml</t>
        </is>
      </c>
      <c r="P60" s="202" t="inlineStr">
        <is>
          <t>UDS</t>
        </is>
      </c>
      <c r="Q60" s="205" t="inlineStr">
        <is>
          <t>€/ml</t>
        </is>
      </c>
      <c r="R60" s="205" t="n">
        <v>5</v>
      </c>
      <c r="S60" s="205" t="n">
        <v>5</v>
      </c>
      <c r="T60" s="202" t="n">
        <v>0</v>
      </c>
      <c r="U60" s="202" t="n"/>
      <c r="V60" s="202" t="n">
        <v>0</v>
      </c>
      <c r="W60" s="205" t="n">
        <v>0</v>
      </c>
      <c r="X60" s="205">
        <f>IFERROR(ROUNDUP((Q85/I85)/0.5,0)*0.5,0)</f>
        <v/>
      </c>
      <c r="Y60" s="205" t="n">
        <v>0</v>
      </c>
      <c r="Z60" s="205">
        <f>IF(I85=0,J85*K85,I85*J85*K85)</f>
        <v/>
      </c>
      <c r="AA60" s="205" t="n">
        <v>1</v>
      </c>
      <c r="AB60" s="205">
        <f>$N$87</f>
        <v/>
      </c>
      <c r="AC60" s="205" t="n">
        <v>0</v>
      </c>
      <c r="AD60" s="205">
        <f>SUM(M85*N85)+M85</f>
        <v/>
      </c>
    </row>
    <row r="61">
      <c r="A61" s="202" t="inlineStr">
        <is>
          <t>PRESUPUESTO</t>
        </is>
      </c>
      <c r="B61" s="204" t="n">
        <v>86</v>
      </c>
      <c r="C61" s="204" t="n">
        <v>79</v>
      </c>
      <c r="D61" s="202" t="inlineStr">
        <is>
          <t>LISTONES</t>
        </is>
      </c>
      <c r="E61" s="202" t="inlineStr">
        <is>
          <t>perfil</t>
        </is>
      </c>
      <c r="F61" s="202" t="inlineStr">
        <is>
          <t>perfil_perfil_aluminio_perfil_en_u_aluminio</t>
        </is>
      </c>
      <c r="G61" s="202" t="inlineStr">
        <is>
          <t xml:space="preserve">Perfil </t>
        </is>
      </c>
      <c r="H61" s="202" t="inlineStr">
        <is>
          <t xml:space="preserve">Perfil </t>
        </is>
      </c>
      <c r="I61" s="202" t="inlineStr">
        <is>
          <t>Aluminio</t>
        </is>
      </c>
      <c r="J61" s="202" t="inlineStr">
        <is>
          <t xml:space="preserve">Perfil en U aluminio </t>
        </is>
      </c>
      <c r="K61" s="202" t="n"/>
      <c r="L61" s="202" t="inlineStr">
        <is>
          <t>Largo</t>
        </is>
      </c>
      <c r="M61" s="202" t="inlineStr">
        <is>
          <t>Altura</t>
        </is>
      </c>
      <c r="N61" s="202" t="inlineStr">
        <is>
          <t>Grosor</t>
        </is>
      </c>
      <c r="O61" s="202" t="inlineStr">
        <is>
          <t>ml</t>
        </is>
      </c>
      <c r="P61" s="202" t="inlineStr">
        <is>
          <t>UDS</t>
        </is>
      </c>
      <c r="Q61" s="205" t="inlineStr">
        <is>
          <t>€/ml</t>
        </is>
      </c>
      <c r="R61" s="205" t="n">
        <v>5.77</v>
      </c>
      <c r="S61" s="205" t="n">
        <v>5.77</v>
      </c>
      <c r="T61" s="202" t="n">
        <v>0</v>
      </c>
      <c r="U61" s="202" t="n"/>
      <c r="V61" s="202" t="n">
        <v>0</v>
      </c>
      <c r="W61" s="205" t="n">
        <v>0</v>
      </c>
      <c r="X61" s="205">
        <f>IFERROR(ROUNDUP((Q86/I86)/0.5,0)*0.5,0)</f>
        <v/>
      </c>
      <c r="Y61" s="205" t="n">
        <v>0</v>
      </c>
      <c r="Z61" s="205">
        <f>IF(I86=0,J86*K86,I86*J86*K86)</f>
        <v/>
      </c>
      <c r="AA61" s="205" t="n">
        <v>1</v>
      </c>
      <c r="AB61" s="205">
        <f>$N$87</f>
        <v/>
      </c>
      <c r="AC61" s="205" t="n">
        <v>0</v>
      </c>
      <c r="AD61" s="205">
        <f>SUM(M86*N86)+M86</f>
        <v/>
      </c>
    </row>
    <row r="62">
      <c r="A62" s="202" t="inlineStr">
        <is>
          <t>PRESUPUESTO</t>
        </is>
      </c>
      <c r="B62" s="204" t="n">
        <v>89</v>
      </c>
      <c r="C62" s="204" t="n">
        <v>88</v>
      </c>
      <c r="D62" s="202" t="inlineStr">
        <is>
          <t>MOSTRADOR</t>
        </is>
      </c>
      <c r="E62" s="202" t="inlineStr">
        <is>
          <t>mostrador</t>
        </is>
      </c>
      <c r="F62" s="202" t="inlineStr">
        <is>
          <t>mostrador_recto_aglomerado_con_puertas</t>
        </is>
      </c>
      <c r="G62" s="202" t="inlineStr">
        <is>
          <t>Mostrador</t>
        </is>
      </c>
      <c r="H62" s="202" t="inlineStr">
        <is>
          <t>Recto</t>
        </is>
      </c>
      <c r="I62" s="202" t="inlineStr">
        <is>
          <t>Aglomerado</t>
        </is>
      </c>
      <c r="J62" s="202" t="inlineStr">
        <is>
          <t>Con Puertas</t>
        </is>
      </c>
      <c r="K62" s="202" t="n"/>
      <c r="L62" s="202" t="inlineStr">
        <is>
          <t>Largo</t>
        </is>
      </c>
      <c r="M62" s="202" t="inlineStr">
        <is>
          <t>Ancho</t>
        </is>
      </c>
      <c r="N62" s="202" t="inlineStr">
        <is>
          <t>Alto</t>
        </is>
      </c>
      <c r="O62" s="202" t="inlineStr">
        <is>
          <t>m3</t>
        </is>
      </c>
      <c r="P62" s="202" t="inlineStr">
        <is>
          <t>UDS</t>
        </is>
      </c>
      <c r="Q62" s="205" t="inlineStr">
        <is>
          <t>€/ml</t>
        </is>
      </c>
      <c r="R62" s="205" t="n">
        <v>102.625088</v>
      </c>
      <c r="S62" s="205" t="n">
        <v>102.625088</v>
      </c>
      <c r="T62" s="202" t="n">
        <v>0</v>
      </c>
      <c r="U62" s="202">
        <f>F89*G89*H89</f>
        <v/>
      </c>
      <c r="V62" s="202" t="n">
        <v>0</v>
      </c>
      <c r="W62" s="205" t="n">
        <v>0</v>
      </c>
      <c r="X62" s="205">
        <f>IFERROR(ROUNDUP((Q89/I89)/0.5,0)*0.5,0)</f>
        <v/>
      </c>
      <c r="Y62" s="205" t="n">
        <v>0</v>
      </c>
      <c r="Z62" s="205">
        <f>IF(I89=0,J89*K89,I89*J89*K89)</f>
        <v/>
      </c>
      <c r="AA62" s="205" t="n">
        <v>1</v>
      </c>
      <c r="AB62" s="205">
        <f>$N$111</f>
        <v/>
      </c>
      <c r="AC62" s="205" t="n">
        <v>0</v>
      </c>
      <c r="AD62" s="205">
        <f>SUM(M89*N89)+M89</f>
        <v/>
      </c>
    </row>
    <row r="63">
      <c r="A63" s="202" t="inlineStr">
        <is>
          <t>PRESUPUESTO</t>
        </is>
      </c>
      <c r="B63" s="204" t="n">
        <v>90</v>
      </c>
      <c r="C63" s="204" t="n">
        <v>88</v>
      </c>
      <c r="D63" s="202" t="inlineStr">
        <is>
          <t>MOSTRADOR</t>
        </is>
      </c>
      <c r="E63" s="202" t="inlineStr">
        <is>
          <t>mostrador</t>
        </is>
      </c>
      <c r="F63" s="202" t="inlineStr">
        <is>
          <t>mostrador_recto_aglomerado_abierto</t>
        </is>
      </c>
      <c r="G63" s="202" t="inlineStr">
        <is>
          <t>Mostrador</t>
        </is>
      </c>
      <c r="H63" s="202" t="inlineStr">
        <is>
          <t>Recto</t>
        </is>
      </c>
      <c r="I63" s="202" t="inlineStr">
        <is>
          <t>Aglomerado</t>
        </is>
      </c>
      <c r="J63" s="202" t="inlineStr">
        <is>
          <t>Abierto</t>
        </is>
      </c>
      <c r="K63" s="202" t="n"/>
      <c r="L63" s="202" t="inlineStr">
        <is>
          <t>Largo</t>
        </is>
      </c>
      <c r="M63" s="202" t="inlineStr">
        <is>
          <t>Ancho</t>
        </is>
      </c>
      <c r="N63" s="202" t="inlineStr">
        <is>
          <t>Alto</t>
        </is>
      </c>
      <c r="O63" s="202" t="inlineStr">
        <is>
          <t>m3</t>
        </is>
      </c>
      <c r="P63" s="202" t="inlineStr">
        <is>
          <t>UDS</t>
        </is>
      </c>
      <c r="Q63" s="205" t="inlineStr">
        <is>
          <t>€/ml</t>
        </is>
      </c>
      <c r="R63" s="205" t="n">
        <v>82.08508800000001</v>
      </c>
      <c r="S63" s="205" t="n">
        <v>82.08508800000001</v>
      </c>
      <c r="T63" s="202" t="n">
        <v>0</v>
      </c>
      <c r="U63" s="202">
        <f>F90*G90*H90</f>
        <v/>
      </c>
      <c r="V63" s="202" t="n">
        <v>0</v>
      </c>
      <c r="W63" s="205" t="n">
        <v>0</v>
      </c>
      <c r="X63" s="205">
        <f>IFERROR(ROUNDUP((Q90/I90)/0.5,0)*0.5,0)</f>
        <v/>
      </c>
      <c r="Y63" s="205" t="n">
        <v>0</v>
      </c>
      <c r="Z63" s="205">
        <f>IF(I90=0,J90*K90,I90*J90*K90)</f>
        <v/>
      </c>
      <c r="AA63" s="205" t="n">
        <v>1</v>
      </c>
      <c r="AB63" s="205">
        <f>$N$111</f>
        <v/>
      </c>
      <c r="AC63" s="205" t="n">
        <v>0</v>
      </c>
      <c r="AD63" s="205">
        <f>SUM(M90*N90)+M90</f>
        <v/>
      </c>
    </row>
    <row r="64">
      <c r="A64" s="202" t="inlineStr">
        <is>
          <t>PRESUPUESTO</t>
        </is>
      </c>
      <c r="B64" s="204" t="n">
        <v>91</v>
      </c>
      <c r="C64" s="204" t="n">
        <v>88</v>
      </c>
      <c r="D64" s="202" t="inlineStr">
        <is>
          <t>MOSTRADOR</t>
        </is>
      </c>
      <c r="E64" s="202" t="inlineStr">
        <is>
          <t>mostrador</t>
        </is>
      </c>
      <c r="F64" s="202" t="inlineStr">
        <is>
          <t>mostrador_recto_lacado_con_puertas</t>
        </is>
      </c>
      <c r="G64" s="202" t="inlineStr">
        <is>
          <t>Mostrador</t>
        </is>
      </c>
      <c r="H64" s="202" t="inlineStr">
        <is>
          <t>Recto</t>
        </is>
      </c>
      <c r="I64" s="202" t="inlineStr">
        <is>
          <t>Lacado</t>
        </is>
      </c>
      <c r="J64" s="202" t="inlineStr">
        <is>
          <t>Con Puertas</t>
        </is>
      </c>
      <c r="K64" s="202" t="inlineStr">
        <is>
          <t>*New</t>
        </is>
      </c>
      <c r="L64" s="202" t="inlineStr">
        <is>
          <t>Largo</t>
        </is>
      </c>
      <c r="M64" s="202" t="inlineStr">
        <is>
          <t>Ancho</t>
        </is>
      </c>
      <c r="N64" s="202" t="inlineStr">
        <is>
          <t>Alto</t>
        </is>
      </c>
      <c r="O64" s="202" t="inlineStr">
        <is>
          <t>m3</t>
        </is>
      </c>
      <c r="P64" s="202" t="inlineStr">
        <is>
          <t>UDS</t>
        </is>
      </c>
      <c r="Q64" s="205" t="inlineStr">
        <is>
          <t>€/ml</t>
        </is>
      </c>
      <c r="R64" s="205" t="n">
        <v>660</v>
      </c>
      <c r="S64" s="205" t="n">
        <v>660</v>
      </c>
      <c r="T64" s="202" t="n">
        <v>0</v>
      </c>
      <c r="U64" s="202">
        <f>F91*G91*H91</f>
        <v/>
      </c>
      <c r="V64" s="202" t="n">
        <v>0</v>
      </c>
      <c r="W64" s="205" t="n">
        <v>0</v>
      </c>
      <c r="X64" s="205">
        <f>IFERROR(ROUNDUP((Q91/I91)/0.5,0)*0.5,0)</f>
        <v/>
      </c>
      <c r="Y64" s="205" t="n">
        <v>0</v>
      </c>
      <c r="Z64" s="205">
        <f>IF(I91=0,J91*K91,I91*J91*K91)</f>
        <v/>
      </c>
      <c r="AA64" s="205" t="n">
        <v>1</v>
      </c>
      <c r="AB64" s="205">
        <f>$N$111</f>
        <v/>
      </c>
      <c r="AC64" s="205" t="n">
        <v>0</v>
      </c>
      <c r="AD64" s="205">
        <f>SUM(M91*N91)+M91</f>
        <v/>
      </c>
    </row>
    <row r="65">
      <c r="A65" s="202" t="inlineStr">
        <is>
          <t>PRESUPUESTO</t>
        </is>
      </c>
      <c r="B65" s="204" t="n">
        <v>92</v>
      </c>
      <c r="C65" s="204" t="n">
        <v>88</v>
      </c>
      <c r="D65" s="202" t="inlineStr">
        <is>
          <t>MOSTRADOR</t>
        </is>
      </c>
      <c r="E65" s="202" t="inlineStr">
        <is>
          <t>mostrador</t>
        </is>
      </c>
      <c r="F65" s="202" t="inlineStr">
        <is>
          <t>mostrador_recto_lacado_abierto</t>
        </is>
      </c>
      <c r="G65" s="202" t="inlineStr">
        <is>
          <t>Mostrador</t>
        </is>
      </c>
      <c r="H65" s="202" t="inlineStr">
        <is>
          <t>Recto</t>
        </is>
      </c>
      <c r="I65" s="202" t="inlineStr">
        <is>
          <t>Lacado</t>
        </is>
      </c>
      <c r="J65" s="202" t="inlineStr">
        <is>
          <t>Abierto</t>
        </is>
      </c>
      <c r="K65" s="202" t="inlineStr">
        <is>
          <t>*New</t>
        </is>
      </c>
      <c r="L65" s="202" t="inlineStr">
        <is>
          <t>Largo</t>
        </is>
      </c>
      <c r="M65" s="202" t="inlineStr">
        <is>
          <t>Ancho</t>
        </is>
      </c>
      <c r="N65" s="202" t="inlineStr">
        <is>
          <t>Alto</t>
        </is>
      </c>
      <c r="O65" s="202" t="inlineStr">
        <is>
          <t>m3</t>
        </is>
      </c>
      <c r="P65" s="202" t="inlineStr">
        <is>
          <t>UDS</t>
        </is>
      </c>
      <c r="Q65" s="205" t="inlineStr">
        <is>
          <t>€/ml</t>
        </is>
      </c>
      <c r="R65" s="205" t="n">
        <v>540</v>
      </c>
      <c r="S65" s="205" t="n">
        <v>540</v>
      </c>
      <c r="T65" s="202" t="n">
        <v>0</v>
      </c>
      <c r="U65" s="202">
        <f>F92*G92*H92</f>
        <v/>
      </c>
      <c r="V65" s="202" t="n">
        <v>0</v>
      </c>
      <c r="W65" s="205" t="n">
        <v>0</v>
      </c>
      <c r="X65" s="205">
        <f>IFERROR(ROUNDUP((Q92/I92)/0.5,0)*0.5,0)</f>
        <v/>
      </c>
      <c r="Y65" s="205" t="n">
        <v>0</v>
      </c>
      <c r="Z65" s="205">
        <f>IF(I92=0,J92*K92,I92*J92*K92)</f>
        <v/>
      </c>
      <c r="AA65" s="205" t="n">
        <v>1</v>
      </c>
      <c r="AB65" s="205">
        <f>$N$111</f>
        <v/>
      </c>
      <c r="AC65" s="205" t="n">
        <v>0</v>
      </c>
      <c r="AD65" s="205">
        <f>SUM(M92*N92)+M92</f>
        <v/>
      </c>
    </row>
    <row r="66">
      <c r="A66" s="202" t="inlineStr">
        <is>
          <t>PRESUPUESTO</t>
        </is>
      </c>
      <c r="B66" s="204" t="n">
        <v>93</v>
      </c>
      <c r="C66" s="204" t="n">
        <v>88</v>
      </c>
      <c r="D66" s="202" t="inlineStr">
        <is>
          <t>MOSTRADOR</t>
        </is>
      </c>
      <c r="E66" s="202" t="inlineStr">
        <is>
          <t>mostrador</t>
        </is>
      </c>
      <c r="F66" s="202" t="inlineStr">
        <is>
          <t>mostrador_recto_melamina_blanca_negra_con_puertas</t>
        </is>
      </c>
      <c r="G66" s="202" t="inlineStr">
        <is>
          <t>Mostrador</t>
        </is>
      </c>
      <c r="H66" s="202" t="inlineStr">
        <is>
          <t>Recto</t>
        </is>
      </c>
      <c r="I66" s="202" t="inlineStr">
        <is>
          <t>Melamina Blanca / Negra</t>
        </is>
      </c>
      <c r="J66" s="202" t="inlineStr">
        <is>
          <t>Con Puertas</t>
        </is>
      </c>
      <c r="K66" s="202" t="n"/>
      <c r="L66" s="202" t="inlineStr">
        <is>
          <t>Largo</t>
        </is>
      </c>
      <c r="M66" s="202" t="inlineStr">
        <is>
          <t>Ancho</t>
        </is>
      </c>
      <c r="N66" s="202" t="inlineStr">
        <is>
          <t>Alto</t>
        </is>
      </c>
      <c r="O66" s="202" t="inlineStr">
        <is>
          <t>m3</t>
        </is>
      </c>
      <c r="P66" s="202" t="inlineStr">
        <is>
          <t>UDS</t>
        </is>
      </c>
      <c r="Q66" s="205" t="inlineStr">
        <is>
          <t>€/ml</t>
        </is>
      </c>
      <c r="R66" s="205" t="n">
        <v>158.139296</v>
      </c>
      <c r="S66" s="205" t="n">
        <v>158.139296</v>
      </c>
      <c r="T66" s="202" t="n">
        <v>0</v>
      </c>
      <c r="U66" s="202">
        <f>F93*G93*H93</f>
        <v/>
      </c>
      <c r="V66" s="202" t="n">
        <v>0</v>
      </c>
      <c r="W66" s="205" t="n">
        <v>0</v>
      </c>
      <c r="X66" s="205">
        <f>IFERROR(ROUNDUP((Q93/I93)/0.5,0)*0.5,0)</f>
        <v/>
      </c>
      <c r="Y66" s="205" t="n">
        <v>0</v>
      </c>
      <c r="Z66" s="205">
        <f>IF(I93=0,J93*K93,I93*J93*K93)</f>
        <v/>
      </c>
      <c r="AA66" s="205" t="n">
        <v>1</v>
      </c>
      <c r="AB66" s="205">
        <f>$N$111</f>
        <v/>
      </c>
      <c r="AC66" s="205" t="n">
        <v>0</v>
      </c>
      <c r="AD66" s="205">
        <f>SUM(M93*N93)+M93</f>
        <v/>
      </c>
    </row>
    <row r="67">
      <c r="A67" s="202" t="inlineStr">
        <is>
          <t>PRESUPUESTO</t>
        </is>
      </c>
      <c r="B67" s="204" t="n">
        <v>94</v>
      </c>
      <c r="C67" s="204" t="n">
        <v>88</v>
      </c>
      <c r="D67" s="202" t="inlineStr">
        <is>
          <t>MOSTRADOR</t>
        </is>
      </c>
      <c r="E67" s="202" t="inlineStr">
        <is>
          <t>mostrador</t>
        </is>
      </c>
      <c r="F67" s="202" t="inlineStr">
        <is>
          <t>mostrador_recto_melamina_blanca_negra_abierto</t>
        </is>
      </c>
      <c r="G67" s="202" t="inlineStr">
        <is>
          <t>Mostrador</t>
        </is>
      </c>
      <c r="H67" s="202" t="inlineStr">
        <is>
          <t>Recto</t>
        </is>
      </c>
      <c r="I67" s="202" t="inlineStr">
        <is>
          <t>Melamina Blanca / Negra</t>
        </is>
      </c>
      <c r="J67" s="202" t="inlineStr">
        <is>
          <t>Abierto</t>
        </is>
      </c>
      <c r="K67" s="202" t="n"/>
      <c r="L67" s="202" t="inlineStr">
        <is>
          <t>Largo</t>
        </is>
      </c>
      <c r="M67" s="202" t="inlineStr">
        <is>
          <t>Ancho</t>
        </is>
      </c>
      <c r="N67" s="202" t="inlineStr">
        <is>
          <t>Alto</t>
        </is>
      </c>
      <c r="O67" s="202" t="inlineStr">
        <is>
          <t>m3</t>
        </is>
      </c>
      <c r="P67" s="202" t="inlineStr">
        <is>
          <t>UDS</t>
        </is>
      </c>
      <c r="Q67" s="205" t="inlineStr">
        <is>
          <t>€/ml</t>
        </is>
      </c>
      <c r="R67" s="205" t="n">
        <v>137.599296</v>
      </c>
      <c r="S67" s="205" t="n">
        <v>137.599296</v>
      </c>
      <c r="T67" s="202" t="n">
        <v>0</v>
      </c>
      <c r="U67" s="202">
        <f>F94*G94*H94</f>
        <v/>
      </c>
      <c r="V67" s="202" t="n">
        <v>0</v>
      </c>
      <c r="W67" s="205" t="n">
        <v>0</v>
      </c>
      <c r="X67" s="205">
        <f>IFERROR(ROUNDUP((Q94/I94)/0.5,0)*0.5,0)</f>
        <v/>
      </c>
      <c r="Y67" s="205" t="n">
        <v>0</v>
      </c>
      <c r="Z67" s="205">
        <f>IF(I94=0,J94*K94,I94*J94*K94)</f>
        <v/>
      </c>
      <c r="AA67" s="205" t="n">
        <v>1</v>
      </c>
      <c r="AB67" s="205">
        <f>$N$111</f>
        <v/>
      </c>
      <c r="AC67" s="205" t="n">
        <v>0</v>
      </c>
      <c r="AD67" s="205">
        <f>SUM(M94*N94)+M94</f>
        <v/>
      </c>
    </row>
    <row r="68">
      <c r="A68" s="202" t="inlineStr">
        <is>
          <t>PRESUPUESTO</t>
        </is>
      </c>
      <c r="B68" s="204" t="n">
        <v>95</v>
      </c>
      <c r="C68" s="204" t="n">
        <v>88</v>
      </c>
      <c r="D68" s="202" t="inlineStr">
        <is>
          <t>MOSTRADOR</t>
        </is>
      </c>
      <c r="E68" s="202" t="inlineStr">
        <is>
          <t>mostrador</t>
        </is>
      </c>
      <c r="F68" s="202" t="inlineStr">
        <is>
          <t>mostrador_recto_melamina_color_con_puertas</t>
        </is>
      </c>
      <c r="G68" s="202" t="inlineStr">
        <is>
          <t>Mostrador</t>
        </is>
      </c>
      <c r="H68" s="202" t="inlineStr">
        <is>
          <t>Recto</t>
        </is>
      </c>
      <c r="I68" s="202" t="inlineStr">
        <is>
          <t>Melamina Color</t>
        </is>
      </c>
      <c r="J68" s="202" t="inlineStr">
        <is>
          <t>Con Puertas</t>
        </is>
      </c>
      <c r="K68" s="202" t="inlineStr">
        <is>
          <t>*New</t>
        </is>
      </c>
      <c r="L68" s="202" t="inlineStr">
        <is>
          <t>Largo</t>
        </is>
      </c>
      <c r="M68" s="202" t="inlineStr">
        <is>
          <t>Ancho</t>
        </is>
      </c>
      <c r="N68" s="202" t="inlineStr">
        <is>
          <t>Alto</t>
        </is>
      </c>
      <c r="O68" s="202" t="inlineStr">
        <is>
          <t>m3</t>
        </is>
      </c>
      <c r="P68" s="202" t="inlineStr">
        <is>
          <t>UDS</t>
        </is>
      </c>
      <c r="Q68" s="205" t="inlineStr">
        <is>
          <t>€/ml</t>
        </is>
      </c>
      <c r="R68" s="205" t="n">
        <v>290</v>
      </c>
      <c r="S68" s="205" t="n">
        <v>290</v>
      </c>
      <c r="T68" s="202" t="n">
        <v>0</v>
      </c>
      <c r="U68" s="202">
        <f>F95*G95*H95</f>
        <v/>
      </c>
      <c r="V68" s="202" t="n">
        <v>0</v>
      </c>
      <c r="W68" s="205" t="n">
        <v>0</v>
      </c>
      <c r="X68" s="205">
        <f>IFERROR(ROUNDUP((Q95/I95)/0.5,0)*0.5,0)</f>
        <v/>
      </c>
      <c r="Y68" s="205" t="n">
        <v>0</v>
      </c>
      <c r="Z68" s="205">
        <f>IF(I95=0,J95*K95,I95*J95*K95)</f>
        <v/>
      </c>
      <c r="AA68" s="205" t="n">
        <v>1</v>
      </c>
      <c r="AB68" s="205">
        <f>$N$111</f>
        <v/>
      </c>
      <c r="AC68" s="205" t="n">
        <v>0</v>
      </c>
      <c r="AD68" s="205">
        <f>SUM(M95*N95)+M95</f>
        <v/>
      </c>
    </row>
    <row r="69">
      <c r="A69" s="202" t="inlineStr">
        <is>
          <t>PRESUPUESTO</t>
        </is>
      </c>
      <c r="B69" s="204" t="n">
        <v>96</v>
      </c>
      <c r="C69" s="204" t="n">
        <v>88</v>
      </c>
      <c r="D69" s="202" t="inlineStr">
        <is>
          <t>MOSTRADOR</t>
        </is>
      </c>
      <c r="E69" s="202" t="inlineStr">
        <is>
          <t>mostrador</t>
        </is>
      </c>
      <c r="F69" s="202" t="inlineStr">
        <is>
          <t>mostrador_recto_melamina_color_abierto</t>
        </is>
      </c>
      <c r="G69" s="202" t="inlineStr">
        <is>
          <t>Mostrador</t>
        </is>
      </c>
      <c r="H69" s="202" t="inlineStr">
        <is>
          <t>Recto</t>
        </is>
      </c>
      <c r="I69" s="202" t="inlineStr">
        <is>
          <t>Melamina Color</t>
        </is>
      </c>
      <c r="J69" s="202" t="inlineStr">
        <is>
          <t>Abierto</t>
        </is>
      </c>
      <c r="K69" s="202" t="inlineStr">
        <is>
          <t>*New</t>
        </is>
      </c>
      <c r="L69" s="202" t="inlineStr">
        <is>
          <t>Largo</t>
        </is>
      </c>
      <c r="M69" s="202" t="inlineStr">
        <is>
          <t>Ancho</t>
        </is>
      </c>
      <c r="N69" s="202" t="inlineStr">
        <is>
          <t>Alto</t>
        </is>
      </c>
      <c r="O69" s="202" t="inlineStr">
        <is>
          <t>m3</t>
        </is>
      </c>
      <c r="P69" s="202" t="inlineStr">
        <is>
          <t>UDS</t>
        </is>
      </c>
      <c r="Q69" s="205" t="inlineStr">
        <is>
          <t>€/ml</t>
        </is>
      </c>
      <c r="R69" s="205" t="n">
        <v>260</v>
      </c>
      <c r="S69" s="205" t="n">
        <v>260</v>
      </c>
      <c r="T69" s="202" t="n">
        <v>0</v>
      </c>
      <c r="U69" s="202">
        <f>F96*G96*H96</f>
        <v/>
      </c>
      <c r="V69" s="202" t="n">
        <v>0</v>
      </c>
      <c r="W69" s="205" t="n">
        <v>0</v>
      </c>
      <c r="X69" s="205">
        <f>IFERROR(ROUNDUP((Q96/I96)/0.5,0)*0.5,0)</f>
        <v/>
      </c>
      <c r="Y69" s="205" t="n">
        <v>0</v>
      </c>
      <c r="Z69" s="205">
        <f>IF(I96=0,J96*K96,I96*J96*K96)</f>
        <v/>
      </c>
      <c r="AA69" s="205" t="n">
        <v>1</v>
      </c>
      <c r="AB69" s="205">
        <f>$N$111</f>
        <v/>
      </c>
      <c r="AC69" s="205" t="n">
        <v>0</v>
      </c>
      <c r="AD69" s="205">
        <f>SUM(M96*N96)+M96</f>
        <v/>
      </c>
    </row>
    <row r="70">
      <c r="A70" s="202" t="inlineStr">
        <is>
          <t>PRESUPUESTO</t>
        </is>
      </c>
      <c r="B70" s="204" t="n">
        <v>97</v>
      </c>
      <c r="C70" s="204" t="n">
        <v>88</v>
      </c>
      <c r="D70" s="202" t="inlineStr">
        <is>
          <t>MOSTRADOR</t>
        </is>
      </c>
      <c r="E70" s="202" t="inlineStr">
        <is>
          <t>mostrador</t>
        </is>
      </c>
      <c r="F70" s="202" t="inlineStr">
        <is>
          <t>mostrador_curvo_aglomerado_con_puertas</t>
        </is>
      </c>
      <c r="G70" s="202" t="inlineStr">
        <is>
          <t>Mostrador</t>
        </is>
      </c>
      <c r="H70" s="202" t="inlineStr">
        <is>
          <t>Curvo</t>
        </is>
      </c>
      <c r="I70" s="202" t="inlineStr">
        <is>
          <t>Aglomerado</t>
        </is>
      </c>
      <c r="J70" s="202" t="inlineStr">
        <is>
          <t xml:space="preserve">Con Puertas </t>
        </is>
      </c>
      <c r="K70" s="202" t="n"/>
      <c r="L70" s="202" t="inlineStr">
        <is>
          <t>Largo</t>
        </is>
      </c>
      <c r="M70" s="202" t="inlineStr">
        <is>
          <t>Ancho</t>
        </is>
      </c>
      <c r="N70" s="202" t="inlineStr">
        <is>
          <t>Alto</t>
        </is>
      </c>
      <c r="O70" s="202" t="inlineStr">
        <is>
          <t>m3</t>
        </is>
      </c>
      <c r="P70" s="202" t="inlineStr">
        <is>
          <t>UDS</t>
        </is>
      </c>
      <c r="Q70" s="205" t="inlineStr">
        <is>
          <t>€/ml</t>
        </is>
      </c>
      <c r="R70" s="205" t="n">
        <v>216.574328</v>
      </c>
      <c r="S70" s="205" t="n">
        <v>216.574328</v>
      </c>
      <c r="T70" s="202" t="n">
        <v>0</v>
      </c>
      <c r="U70" s="202">
        <f>F97*G97*H97</f>
        <v/>
      </c>
      <c r="V70" s="202" t="n">
        <v>0</v>
      </c>
      <c r="W70" s="205" t="n">
        <v>0</v>
      </c>
      <c r="X70" s="205">
        <f>IFERROR(ROUNDUP((Q97/I97)/0.5,0)*0.5,0)</f>
        <v/>
      </c>
      <c r="Y70" s="205" t="n">
        <v>0</v>
      </c>
      <c r="Z70" s="205">
        <f>IF(I97=0,J97*K97,I97*J97*K97)</f>
        <v/>
      </c>
      <c r="AA70" s="205" t="n">
        <v>1</v>
      </c>
      <c r="AB70" s="205">
        <f>$N$111</f>
        <v/>
      </c>
      <c r="AC70" s="205" t="n">
        <v>0</v>
      </c>
      <c r="AD70" s="205">
        <f>SUM(M97*N97)+M97</f>
        <v/>
      </c>
    </row>
    <row r="71">
      <c r="A71" s="202" t="inlineStr">
        <is>
          <t>PRESUPUESTO</t>
        </is>
      </c>
      <c r="B71" s="204" t="n">
        <v>98</v>
      </c>
      <c r="C71" s="204" t="n">
        <v>88</v>
      </c>
      <c r="D71" s="202" t="inlineStr">
        <is>
          <t>MOSTRADOR</t>
        </is>
      </c>
      <c r="E71" s="202" t="inlineStr">
        <is>
          <t>mostrador</t>
        </is>
      </c>
      <c r="F71" s="202" t="inlineStr">
        <is>
          <t>mostrador_curvo_aglomerado_abierto</t>
        </is>
      </c>
      <c r="G71" s="202" t="inlineStr">
        <is>
          <t>Mostrador</t>
        </is>
      </c>
      <c r="H71" s="202" t="inlineStr">
        <is>
          <t>Curvo</t>
        </is>
      </c>
      <c r="I71" s="202" t="inlineStr">
        <is>
          <t>Aglomerado</t>
        </is>
      </c>
      <c r="J71" s="202" t="inlineStr">
        <is>
          <t>Abierto</t>
        </is>
      </c>
      <c r="K71" s="202" t="n"/>
      <c r="L71" s="202" t="inlineStr">
        <is>
          <t>Largo</t>
        </is>
      </c>
      <c r="M71" s="202" t="inlineStr">
        <is>
          <t>Ancho</t>
        </is>
      </c>
      <c r="N71" s="202" t="inlineStr">
        <is>
          <t>Alto</t>
        </is>
      </c>
      <c r="O71" s="202" t="inlineStr">
        <is>
          <t>m3</t>
        </is>
      </c>
      <c r="P71" s="202" t="inlineStr">
        <is>
          <t>UDS</t>
        </is>
      </c>
      <c r="Q71" s="205" t="inlineStr">
        <is>
          <t>€/ml</t>
        </is>
      </c>
      <c r="R71" s="205" t="n">
        <v>167.479028</v>
      </c>
      <c r="S71" s="205" t="n">
        <v>167.479028</v>
      </c>
      <c r="T71" s="202" t="n">
        <v>0</v>
      </c>
      <c r="U71" s="202">
        <f>F98*G98*H98</f>
        <v/>
      </c>
      <c r="V71" s="202" t="n">
        <v>0</v>
      </c>
      <c r="W71" s="205" t="n">
        <v>0</v>
      </c>
      <c r="X71" s="205">
        <f>IFERROR(ROUNDUP((Q98/I98)/0.5,0)*0.5,0)</f>
        <v/>
      </c>
      <c r="Y71" s="205" t="n">
        <v>0</v>
      </c>
      <c r="Z71" s="205">
        <f>IF(I98=0,J98*K98,I98*J98*K98)</f>
        <v/>
      </c>
      <c r="AA71" s="205" t="n">
        <v>1</v>
      </c>
      <c r="AB71" s="205">
        <f>$N$111</f>
        <v/>
      </c>
      <c r="AC71" s="205" t="n">
        <v>0</v>
      </c>
      <c r="AD71" s="205">
        <f>SUM(M98*N98)+M98</f>
        <v/>
      </c>
    </row>
    <row r="72">
      <c r="A72" s="202" t="inlineStr">
        <is>
          <t>PRESUPUESTO</t>
        </is>
      </c>
      <c r="B72" s="204" t="n">
        <v>99</v>
      </c>
      <c r="C72" s="204" t="n">
        <v>88</v>
      </c>
      <c r="D72" s="202" t="inlineStr">
        <is>
          <t>MOSTRADOR</t>
        </is>
      </c>
      <c r="E72" s="202" t="inlineStr">
        <is>
          <t>mostrador</t>
        </is>
      </c>
      <c r="F72" s="202" t="inlineStr">
        <is>
          <t>mostrador_curvo_lacado_con_puertas</t>
        </is>
      </c>
      <c r="G72" s="202" t="inlineStr">
        <is>
          <t>Mostrador</t>
        </is>
      </c>
      <c r="H72" s="202" t="inlineStr">
        <is>
          <t>Curvo</t>
        </is>
      </c>
      <c r="I72" s="202" t="inlineStr">
        <is>
          <t>Lacado</t>
        </is>
      </c>
      <c r="J72" s="202" t="inlineStr">
        <is>
          <t xml:space="preserve">Con Puertas </t>
        </is>
      </c>
      <c r="K72" s="202" t="inlineStr">
        <is>
          <t>*New</t>
        </is>
      </c>
      <c r="L72" s="202" t="inlineStr">
        <is>
          <t>Largo</t>
        </is>
      </c>
      <c r="M72" s="202" t="inlineStr">
        <is>
          <t>Ancho</t>
        </is>
      </c>
      <c r="N72" s="202" t="inlineStr">
        <is>
          <t>Alto</t>
        </is>
      </c>
      <c r="O72" s="202" t="inlineStr">
        <is>
          <t>m3</t>
        </is>
      </c>
      <c r="P72" s="202" t="inlineStr">
        <is>
          <t>UDS</t>
        </is>
      </c>
      <c r="Q72" s="205" t="inlineStr">
        <is>
          <t>€/ml</t>
        </is>
      </c>
      <c r="R72" s="205" t="n">
        <v>762</v>
      </c>
      <c r="S72" s="205" t="n">
        <v>762</v>
      </c>
      <c r="T72" s="202" t="n">
        <v>0</v>
      </c>
      <c r="U72" s="202">
        <f>F99*G99*H99</f>
        <v/>
      </c>
      <c r="V72" s="202" t="n">
        <v>0</v>
      </c>
      <c r="W72" s="205" t="n">
        <v>0</v>
      </c>
      <c r="X72" s="205">
        <f>IFERROR(ROUNDUP((Q99/I99)/0.5,0)*0.5,0)</f>
        <v/>
      </c>
      <c r="Y72" s="205" t="n">
        <v>0</v>
      </c>
      <c r="Z72" s="205">
        <f>IF(I99=0,J99*K99,I99*J99*K99)</f>
        <v/>
      </c>
      <c r="AA72" s="205" t="n">
        <v>1</v>
      </c>
      <c r="AB72" s="205">
        <f>$N$111</f>
        <v/>
      </c>
      <c r="AC72" s="205" t="n">
        <v>0</v>
      </c>
      <c r="AD72" s="205">
        <f>SUM(M99*N99)+M99</f>
        <v/>
      </c>
    </row>
    <row r="73">
      <c r="A73" s="202" t="inlineStr">
        <is>
          <t>PRESUPUESTO</t>
        </is>
      </c>
      <c r="B73" s="204" t="n">
        <v>100</v>
      </c>
      <c r="C73" s="204" t="n">
        <v>88</v>
      </c>
      <c r="D73" s="202" t="inlineStr">
        <is>
          <t>MOSTRADOR</t>
        </is>
      </c>
      <c r="E73" s="202" t="inlineStr">
        <is>
          <t>mostrador</t>
        </is>
      </c>
      <c r="F73" s="202" t="inlineStr">
        <is>
          <t>mostrador_curvo_lacado_abierto</t>
        </is>
      </c>
      <c r="G73" s="202" t="inlineStr">
        <is>
          <t>Mostrador</t>
        </is>
      </c>
      <c r="H73" s="202" t="inlineStr">
        <is>
          <t>Curvo</t>
        </is>
      </c>
      <c r="I73" s="202" t="inlineStr">
        <is>
          <t>Lacado</t>
        </is>
      </c>
      <c r="J73" s="202" t="inlineStr">
        <is>
          <t>Abierto</t>
        </is>
      </c>
      <c r="K73" s="202" t="inlineStr">
        <is>
          <t>*New</t>
        </is>
      </c>
      <c r="L73" s="202" t="inlineStr">
        <is>
          <t>Largo</t>
        </is>
      </c>
      <c r="M73" s="202" t="inlineStr">
        <is>
          <t>Ancho</t>
        </is>
      </c>
      <c r="N73" s="202" t="inlineStr">
        <is>
          <t>Alto</t>
        </is>
      </c>
      <c r="O73" s="202" t="inlineStr">
        <is>
          <t>m3</t>
        </is>
      </c>
      <c r="P73" s="202" t="inlineStr">
        <is>
          <t>UDS</t>
        </is>
      </c>
      <c r="Q73" s="205" t="inlineStr">
        <is>
          <t>€/ml</t>
        </is>
      </c>
      <c r="R73" s="205" t="n">
        <v>630</v>
      </c>
      <c r="S73" s="205" t="n">
        <v>630</v>
      </c>
      <c r="T73" s="202" t="n">
        <v>0</v>
      </c>
      <c r="U73" s="202">
        <f>F100*G100*H100</f>
        <v/>
      </c>
      <c r="V73" s="202" t="n">
        <v>0</v>
      </c>
      <c r="W73" s="205" t="n">
        <v>0</v>
      </c>
      <c r="X73" s="205">
        <f>IFERROR(ROUNDUP((Q100/I100)/0.5,0)*0.5,0)</f>
        <v/>
      </c>
      <c r="Y73" s="205" t="n">
        <v>0</v>
      </c>
      <c r="Z73" s="205">
        <f>IF(I100=0,J100*K100,I100*J100*K100)</f>
        <v/>
      </c>
      <c r="AA73" s="205" t="n">
        <v>1</v>
      </c>
      <c r="AB73" s="205">
        <f>$N$111</f>
        <v/>
      </c>
      <c r="AC73" s="205" t="n">
        <v>0</v>
      </c>
      <c r="AD73" s="205">
        <f>SUM(M100*N100)+M100</f>
        <v/>
      </c>
    </row>
    <row r="74">
      <c r="A74" s="202" t="inlineStr">
        <is>
          <t>PRESUPUESTO</t>
        </is>
      </c>
      <c r="B74" s="204" t="n">
        <v>101</v>
      </c>
      <c r="C74" s="204" t="n">
        <v>88</v>
      </c>
      <c r="D74" s="202" t="inlineStr">
        <is>
          <t>MOSTRADOR</t>
        </is>
      </c>
      <c r="E74" s="202" t="inlineStr">
        <is>
          <t>mostrador</t>
        </is>
      </c>
      <c r="F74" s="202" t="inlineStr">
        <is>
          <t>mostrador_curvo_formica_con_puertas</t>
        </is>
      </c>
      <c r="G74" s="202" t="inlineStr">
        <is>
          <t>Mostrador</t>
        </is>
      </c>
      <c r="H74" s="202" t="inlineStr">
        <is>
          <t>Curvo</t>
        </is>
      </c>
      <c r="I74" s="202" t="inlineStr">
        <is>
          <t>Formica</t>
        </is>
      </c>
      <c r="J74" s="202" t="inlineStr">
        <is>
          <t xml:space="preserve">Con Puertas </t>
        </is>
      </c>
      <c r="K74" s="202" t="n"/>
      <c r="L74" s="202" t="inlineStr">
        <is>
          <t>Largo</t>
        </is>
      </c>
      <c r="M74" s="202" t="inlineStr">
        <is>
          <t>Ancho</t>
        </is>
      </c>
      <c r="N74" s="202" t="inlineStr">
        <is>
          <t>Alto</t>
        </is>
      </c>
      <c r="O74" s="202" t="inlineStr">
        <is>
          <t>m3</t>
        </is>
      </c>
      <c r="P74" s="202" t="inlineStr">
        <is>
          <t>UDS</t>
        </is>
      </c>
      <c r="Q74" s="205" t="inlineStr">
        <is>
          <t>€/ml</t>
        </is>
      </c>
      <c r="R74" s="205" t="n">
        <v>305.678372</v>
      </c>
      <c r="S74" s="205" t="n">
        <v>305.678372</v>
      </c>
      <c r="T74" s="202" t="n">
        <v>0</v>
      </c>
      <c r="U74" s="202">
        <f>F101*G101*H101</f>
        <v/>
      </c>
      <c r="V74" s="202" t="n">
        <v>0</v>
      </c>
      <c r="W74" s="205" t="n">
        <v>0</v>
      </c>
      <c r="X74" s="205">
        <f>IFERROR(ROUNDUP((Q101/I101)/0.5,0)*0.5,0)</f>
        <v/>
      </c>
      <c r="Y74" s="205" t="n">
        <v>0</v>
      </c>
      <c r="Z74" s="205">
        <f>IF(I101=0,J101*K101,I101*J101*K101)</f>
        <v/>
      </c>
      <c r="AA74" s="205" t="n">
        <v>1</v>
      </c>
      <c r="AB74" s="205">
        <f>$N$111</f>
        <v/>
      </c>
      <c r="AC74" s="205" t="n">
        <v>0</v>
      </c>
      <c r="AD74" s="205">
        <f>SUM(M101*N101)+M101</f>
        <v/>
      </c>
    </row>
    <row r="75">
      <c r="A75" s="202" t="inlineStr">
        <is>
          <t>PRESUPUESTO</t>
        </is>
      </c>
      <c r="B75" s="204" t="n">
        <v>102</v>
      </c>
      <c r="C75" s="204" t="n">
        <v>88</v>
      </c>
      <c r="D75" s="202" t="inlineStr">
        <is>
          <t>MOSTRADOR</t>
        </is>
      </c>
      <c r="E75" s="202" t="inlineStr">
        <is>
          <t>mostrador</t>
        </is>
      </c>
      <c r="F75" s="202" t="inlineStr">
        <is>
          <t>mostrador_curvo_formica_abierto</t>
        </is>
      </c>
      <c r="G75" s="202" t="inlineStr">
        <is>
          <t>Mostrador</t>
        </is>
      </c>
      <c r="H75" s="202" t="inlineStr">
        <is>
          <t>Curvo</t>
        </is>
      </c>
      <c r="I75" s="202" t="inlineStr">
        <is>
          <t>Formica</t>
        </is>
      </c>
      <c r="J75" s="202" t="inlineStr">
        <is>
          <t>Abierto</t>
        </is>
      </c>
      <c r="K75" s="202" t="n"/>
      <c r="L75" s="202" t="inlineStr">
        <is>
          <t>Largo</t>
        </is>
      </c>
      <c r="M75" s="202" t="inlineStr">
        <is>
          <t>Ancho</t>
        </is>
      </c>
      <c r="N75" s="202" t="inlineStr">
        <is>
          <t>Alto</t>
        </is>
      </c>
      <c r="O75" s="202" t="inlineStr">
        <is>
          <t>m3</t>
        </is>
      </c>
      <c r="P75" s="202" t="inlineStr">
        <is>
          <t>UDS</t>
        </is>
      </c>
      <c r="Q75" s="205" t="inlineStr">
        <is>
          <t>€/ml</t>
        </is>
      </c>
      <c r="R75" s="205" t="n">
        <v>244.851968</v>
      </c>
      <c r="S75" s="205" t="n">
        <v>244.851968</v>
      </c>
      <c r="T75" s="202" t="n">
        <v>0</v>
      </c>
      <c r="U75" s="202">
        <f>F102*G102*H102</f>
        <v/>
      </c>
      <c r="V75" s="202" t="n">
        <v>0</v>
      </c>
      <c r="W75" s="205" t="n">
        <v>0</v>
      </c>
      <c r="X75" s="205">
        <f>IFERROR(ROUNDUP((Q102/I102)/0.5,0)*0.5,0)</f>
        <v/>
      </c>
      <c r="Y75" s="205" t="n">
        <v>0</v>
      </c>
      <c r="Z75" s="205">
        <f>IF(I102=0,J102*K102,I102*J102*K102)</f>
        <v/>
      </c>
      <c r="AA75" s="205" t="n">
        <v>1</v>
      </c>
      <c r="AB75" s="205">
        <f>$N$111</f>
        <v/>
      </c>
      <c r="AC75" s="205" t="n">
        <v>0</v>
      </c>
      <c r="AD75" s="205">
        <f>SUM(M102*N102)+M102</f>
        <v/>
      </c>
    </row>
    <row r="76">
      <c r="A76" s="202" t="inlineStr">
        <is>
          <t>PRESUPUESTO</t>
        </is>
      </c>
      <c r="B76" s="204" t="n">
        <v>104</v>
      </c>
      <c r="C76" s="204" t="n">
        <v>103</v>
      </c>
      <c r="D76" s="202" t="inlineStr">
        <is>
          <t>MESA</t>
        </is>
      </c>
      <c r="E76" s="202" t="inlineStr">
        <is>
          <t>mesa</t>
        </is>
      </c>
      <c r="F76" s="202" t="inlineStr">
        <is>
          <t>mesa_u_aglomerado</t>
        </is>
      </c>
      <c r="G76" s="202" t="inlineStr">
        <is>
          <t>Mesa</t>
        </is>
      </c>
      <c r="H76" s="202" t="inlineStr">
        <is>
          <t>U</t>
        </is>
      </c>
      <c r="I76" s="202" t="inlineStr">
        <is>
          <t>Aglomerado</t>
        </is>
      </c>
      <c r="J76" s="202" t="n"/>
      <c r="K76" s="202" t="n"/>
      <c r="L76" s="202" t="inlineStr">
        <is>
          <t>Largo</t>
        </is>
      </c>
      <c r="M76" s="202" t="inlineStr">
        <is>
          <t>Ancho</t>
        </is>
      </c>
      <c r="N76" s="202" t="inlineStr">
        <is>
          <t>Alto Falda</t>
        </is>
      </c>
      <c r="O76" s="202" t="inlineStr">
        <is>
          <t>m2</t>
        </is>
      </c>
      <c r="P76" s="202" t="inlineStr">
        <is>
          <t>UDS</t>
        </is>
      </c>
      <c r="Q76" s="205" t="inlineStr">
        <is>
          <t>€/m2</t>
        </is>
      </c>
      <c r="R76" s="205" t="n">
        <v>35</v>
      </c>
      <c r="S76" s="205" t="n">
        <v>35</v>
      </c>
      <c r="T76" s="202" t="n">
        <v>0</v>
      </c>
      <c r="U76" s="202">
        <f>F104*G104</f>
        <v/>
      </c>
      <c r="V76" s="202" t="n">
        <v>0</v>
      </c>
      <c r="W76" s="205" t="n">
        <v>0</v>
      </c>
      <c r="X76" s="205">
        <f>IFERROR(ROUNDUP((Q104/I104)/0.5,0)*0.5,0)</f>
        <v/>
      </c>
      <c r="Y76" s="205" t="n">
        <v>0</v>
      </c>
      <c r="Z76" s="205">
        <f>IF(I104=0,J104*K104,I104*J104*K104)</f>
        <v/>
      </c>
      <c r="AA76" s="205" t="n">
        <v>1</v>
      </c>
      <c r="AB76" s="205">
        <f>$N$111</f>
        <v/>
      </c>
      <c r="AC76" s="205" t="n">
        <v>0</v>
      </c>
      <c r="AD76" s="205">
        <f>SUM(M104*N104)+M104</f>
        <v/>
      </c>
    </row>
    <row r="77">
      <c r="A77" s="202" t="inlineStr">
        <is>
          <t>PRESUPUESTO</t>
        </is>
      </c>
      <c r="B77" s="204" t="n">
        <v>105</v>
      </c>
      <c r="C77" s="204" t="n">
        <v>103</v>
      </c>
      <c r="D77" s="202" t="inlineStr">
        <is>
          <t>MESA</t>
        </is>
      </c>
      <c r="E77" s="202" t="inlineStr">
        <is>
          <t>mesa</t>
        </is>
      </c>
      <c r="F77" s="202" t="inlineStr">
        <is>
          <t>mesa_u_melamina</t>
        </is>
      </c>
      <c r="G77" s="202" t="inlineStr">
        <is>
          <t>Mesa</t>
        </is>
      </c>
      <c r="H77" s="202" t="inlineStr">
        <is>
          <t>U</t>
        </is>
      </c>
      <c r="I77" s="202" t="inlineStr">
        <is>
          <t>Melamina</t>
        </is>
      </c>
      <c r="J77" s="202" t="n"/>
      <c r="K77" s="202" t="n"/>
      <c r="L77" s="202" t="inlineStr">
        <is>
          <t>Largo</t>
        </is>
      </c>
      <c r="M77" s="202" t="inlineStr">
        <is>
          <t>Ancho</t>
        </is>
      </c>
      <c r="N77" s="202" t="inlineStr">
        <is>
          <t>Alto Falda</t>
        </is>
      </c>
      <c r="O77" s="202" t="inlineStr">
        <is>
          <t>m2</t>
        </is>
      </c>
      <c r="P77" s="202" t="inlineStr">
        <is>
          <t>UDS</t>
        </is>
      </c>
      <c r="Q77" s="205" t="inlineStr">
        <is>
          <t>€/m2</t>
        </is>
      </c>
      <c r="R77" s="205" t="n">
        <v>50</v>
      </c>
      <c r="S77" s="205" t="n">
        <v>50</v>
      </c>
      <c r="T77" s="202" t="n">
        <v>0</v>
      </c>
      <c r="U77" s="202">
        <f>F105*G105</f>
        <v/>
      </c>
      <c r="V77" s="202" t="n">
        <v>0</v>
      </c>
      <c r="W77" s="205" t="n">
        <v>0</v>
      </c>
      <c r="X77" s="205">
        <f>IFERROR(ROUNDUP((Q105/I105)/0.5,0)*0.5,0)</f>
        <v/>
      </c>
      <c r="Y77" s="205" t="n">
        <v>0</v>
      </c>
      <c r="Z77" s="205">
        <f>IF(I105=0,J105*K105,I105*J105*K105)</f>
        <v/>
      </c>
      <c r="AA77" s="205" t="n">
        <v>1</v>
      </c>
      <c r="AB77" s="205">
        <f>$N$111</f>
        <v/>
      </c>
      <c r="AC77" s="205" t="n">
        <v>0</v>
      </c>
      <c r="AD77" s="205">
        <f>SUM(M105*N105)+M105</f>
        <v/>
      </c>
    </row>
    <row r="78">
      <c r="A78" s="202" t="inlineStr">
        <is>
          <t>PRESUPUESTO</t>
        </is>
      </c>
      <c r="B78" s="204" t="n">
        <v>106</v>
      </c>
      <c r="C78" s="204" t="n">
        <v>103</v>
      </c>
      <c r="D78" s="202" t="inlineStr">
        <is>
          <t>MESA</t>
        </is>
      </c>
      <c r="E78" s="202" t="inlineStr">
        <is>
          <t>mesa</t>
        </is>
      </c>
      <c r="F78" s="202" t="inlineStr">
        <is>
          <t>mesa_u_melamina_especial</t>
        </is>
      </c>
      <c r="G78" s="202" t="inlineStr">
        <is>
          <t>Mesa</t>
        </is>
      </c>
      <c r="H78" s="202" t="inlineStr">
        <is>
          <t>U</t>
        </is>
      </c>
      <c r="I78" s="202" t="inlineStr">
        <is>
          <t>Melamina Especial</t>
        </is>
      </c>
      <c r="J78" s="202" t="n"/>
      <c r="K78" s="202" t="n"/>
      <c r="L78" s="202" t="inlineStr">
        <is>
          <t>Largo</t>
        </is>
      </c>
      <c r="M78" s="202" t="inlineStr">
        <is>
          <t>Ancho</t>
        </is>
      </c>
      <c r="N78" s="202" t="inlineStr">
        <is>
          <t>Alto Falda</t>
        </is>
      </c>
      <c r="O78" s="202" t="inlineStr">
        <is>
          <t>m2</t>
        </is>
      </c>
      <c r="P78" s="202" t="inlineStr">
        <is>
          <t>UDS</t>
        </is>
      </c>
      <c r="Q78" s="205" t="inlineStr">
        <is>
          <t>€/m2</t>
        </is>
      </c>
      <c r="R78" s="205" t="n">
        <v>75</v>
      </c>
      <c r="S78" s="205" t="n">
        <v>75</v>
      </c>
      <c r="T78" s="202" t="n">
        <v>0</v>
      </c>
      <c r="U78" s="202">
        <f>F106*G106</f>
        <v/>
      </c>
      <c r="V78" s="202" t="n">
        <v>0</v>
      </c>
      <c r="W78" s="205" t="n">
        <v>0</v>
      </c>
      <c r="X78" s="205">
        <f>IFERROR(ROUNDUP((Q106/I106)/0.5,0)*0.5,0)</f>
        <v/>
      </c>
      <c r="Y78" s="205" t="n">
        <v>0</v>
      </c>
      <c r="Z78" s="205">
        <f>IF(I106=0,J106*K106,I106*J106*K106)</f>
        <v/>
      </c>
      <c r="AA78" s="205" t="n">
        <v>1</v>
      </c>
      <c r="AB78" s="205">
        <f>$N$111</f>
        <v/>
      </c>
      <c r="AC78" s="205" t="n">
        <v>0</v>
      </c>
      <c r="AD78" s="205">
        <f>SUM(M106*N106)+M106</f>
        <v/>
      </c>
    </row>
    <row r="79">
      <c r="A79" s="202" t="inlineStr">
        <is>
          <t>PRESUPUESTO</t>
        </is>
      </c>
      <c r="B79" s="204" t="n">
        <v>108</v>
      </c>
      <c r="C79" s="204" t="n">
        <v>107</v>
      </c>
      <c r="D79" s="202" t="inlineStr">
        <is>
          <t>JARDINERA</t>
        </is>
      </c>
      <c r="E79" s="202" t="inlineStr">
        <is>
          <t>jardinera</t>
        </is>
      </c>
      <c r="F79" s="202" t="inlineStr">
        <is>
          <t>jardinera_jardinera_aglomerado</t>
        </is>
      </c>
      <c r="G79" s="202" t="inlineStr">
        <is>
          <t>Jardinera</t>
        </is>
      </c>
      <c r="H79" s="202" t="inlineStr">
        <is>
          <t>Jardinera</t>
        </is>
      </c>
      <c r="I79" s="202" t="inlineStr">
        <is>
          <t>Aglomerado</t>
        </is>
      </c>
      <c r="J79" s="202" t="n"/>
      <c r="K79" s="202" t="n"/>
      <c r="L79" s="202" t="inlineStr">
        <is>
          <t>Largo</t>
        </is>
      </c>
      <c r="M79" s="202" t="inlineStr">
        <is>
          <t>Ancho</t>
        </is>
      </c>
      <c r="N79" s="202" t="inlineStr">
        <is>
          <t>Alto</t>
        </is>
      </c>
      <c r="O79" s="202" t="inlineStr">
        <is>
          <t>ml</t>
        </is>
      </c>
      <c r="P79" s="202" t="inlineStr">
        <is>
          <t>UDS</t>
        </is>
      </c>
      <c r="Q79" s="205" t="inlineStr">
        <is>
          <t>€/ml</t>
        </is>
      </c>
      <c r="R79" s="205" t="n">
        <v>15.01623952600395</v>
      </c>
      <c r="S79" s="205" t="n">
        <v>15.01623952600395</v>
      </c>
      <c r="T79" s="202" t="n">
        <v>0</v>
      </c>
      <c r="U79" s="202">
        <f>F108</f>
        <v/>
      </c>
      <c r="V79" s="202" t="n">
        <v>0</v>
      </c>
      <c r="W79" s="205" t="n">
        <v>0</v>
      </c>
      <c r="X79" s="205">
        <f>IFERROR(ROUNDUP((Q108/I108)/0.5,0)*0.5,0)</f>
        <v/>
      </c>
      <c r="Y79" s="205" t="n">
        <v>0</v>
      </c>
      <c r="Z79" s="205">
        <f>IF(I108=0,J108*K108,I108*J108*K108)</f>
        <v/>
      </c>
      <c r="AA79" s="205" t="n">
        <v>1</v>
      </c>
      <c r="AB79" s="205">
        <f>$N$111</f>
        <v/>
      </c>
      <c r="AC79" s="205" t="n">
        <v>0</v>
      </c>
      <c r="AD79" s="205">
        <f>SUM(M108*N108)+M108</f>
        <v/>
      </c>
    </row>
    <row r="80">
      <c r="A80" s="202" t="inlineStr">
        <is>
          <t>PRESUPUESTO</t>
        </is>
      </c>
      <c r="B80" s="204" t="n">
        <v>109</v>
      </c>
      <c r="C80" s="204" t="n">
        <v>107</v>
      </c>
      <c r="D80" s="202" t="inlineStr">
        <is>
          <t>JARDINERA</t>
        </is>
      </c>
      <c r="E80" s="202" t="inlineStr">
        <is>
          <t>jardinera</t>
        </is>
      </c>
      <c r="F80" s="202" t="inlineStr">
        <is>
          <t>jardinera_jardinera_melamina</t>
        </is>
      </c>
      <c r="G80" s="202" t="inlineStr">
        <is>
          <t>Jardinera</t>
        </is>
      </c>
      <c r="H80" s="202" t="inlineStr">
        <is>
          <t>Jardinera</t>
        </is>
      </c>
      <c r="I80" s="202" t="inlineStr">
        <is>
          <t>Melamina</t>
        </is>
      </c>
      <c r="J80" s="202" t="n"/>
      <c r="K80" s="202" t="n"/>
      <c r="L80" s="202" t="inlineStr">
        <is>
          <t>Largo</t>
        </is>
      </c>
      <c r="M80" s="202" t="inlineStr">
        <is>
          <t>Ancho</t>
        </is>
      </c>
      <c r="N80" s="202" t="inlineStr">
        <is>
          <t>Alto</t>
        </is>
      </c>
      <c r="O80" s="202" t="inlineStr">
        <is>
          <t>ml</t>
        </is>
      </c>
      <c r="P80" s="202" t="inlineStr">
        <is>
          <t>UDS</t>
        </is>
      </c>
      <c r="Q80" s="205" t="inlineStr">
        <is>
          <t>€/ml</t>
        </is>
      </c>
      <c r="R80" s="205" t="n">
        <v>17.0992115942029</v>
      </c>
      <c r="S80" s="205" t="n">
        <v>17.0992115942029</v>
      </c>
      <c r="T80" s="202" t="n">
        <v>0</v>
      </c>
      <c r="U80" s="202">
        <f>F109</f>
        <v/>
      </c>
      <c r="V80" s="202" t="n">
        <v>0</v>
      </c>
      <c r="W80" s="205" t="n">
        <v>0</v>
      </c>
      <c r="X80" s="205">
        <f>IFERROR(ROUNDUP((Q109/I109)/0.5,0)*0.5,0)</f>
        <v/>
      </c>
      <c r="Y80" s="205" t="n">
        <v>0</v>
      </c>
      <c r="Z80" s="205">
        <f>IF(I109=0,J109*K109,I109*J109*K109)</f>
        <v/>
      </c>
      <c r="AA80" s="205" t="n">
        <v>1</v>
      </c>
      <c r="AB80" s="205">
        <f>$N$111</f>
        <v/>
      </c>
      <c r="AC80" s="205" t="n">
        <v>0</v>
      </c>
      <c r="AD80" s="205">
        <f>SUM(M109*N109)+M109</f>
        <v/>
      </c>
    </row>
    <row r="81">
      <c r="A81" s="202" t="inlineStr">
        <is>
          <t>PRESUPUESTO</t>
        </is>
      </c>
      <c r="B81" s="204" t="n">
        <v>110</v>
      </c>
      <c r="C81" s="204" t="n">
        <v>107</v>
      </c>
      <c r="D81" s="202" t="inlineStr">
        <is>
          <t>JARDINERA</t>
        </is>
      </c>
      <c r="E81" s="202" t="inlineStr">
        <is>
          <t>jardinera</t>
        </is>
      </c>
      <c r="F81" s="202" t="inlineStr">
        <is>
          <t>jardinera_jardinera_melamina_especial</t>
        </is>
      </c>
      <c r="G81" s="202" t="inlineStr">
        <is>
          <t>Jardinera</t>
        </is>
      </c>
      <c r="H81" s="202" t="inlineStr">
        <is>
          <t>Jardinera</t>
        </is>
      </c>
      <c r="I81" s="202" t="inlineStr">
        <is>
          <t>Melamina Especial</t>
        </is>
      </c>
      <c r="J81" s="202" t="n"/>
      <c r="K81" s="202" t="n"/>
      <c r="L81" s="202" t="inlineStr">
        <is>
          <t>Largo</t>
        </is>
      </c>
      <c r="M81" s="202" t="inlineStr">
        <is>
          <t>Ancho</t>
        </is>
      </c>
      <c r="N81" s="202" t="inlineStr">
        <is>
          <t>Alto</t>
        </is>
      </c>
      <c r="O81" s="202" t="inlineStr">
        <is>
          <t>ml</t>
        </is>
      </c>
      <c r="P81" s="202" t="inlineStr">
        <is>
          <t>UDS</t>
        </is>
      </c>
      <c r="Q81" s="205" t="inlineStr">
        <is>
          <t>€/ml</t>
        </is>
      </c>
      <c r="R81" s="205" t="n">
        <v>19.61796714975845</v>
      </c>
      <c r="S81" s="205" t="n">
        <v>19.61796714975845</v>
      </c>
      <c r="T81" s="202" t="n">
        <v>0</v>
      </c>
      <c r="U81" s="202">
        <f>F110</f>
        <v/>
      </c>
      <c r="V81" s="202" t="n">
        <v>0</v>
      </c>
      <c r="W81" s="205" t="n">
        <v>0</v>
      </c>
      <c r="X81" s="205">
        <f>IFERROR(ROUNDUP((Q110/I110)/0.5,0)*0.5,0)</f>
        <v/>
      </c>
      <c r="Y81" s="205" t="n">
        <v>0</v>
      </c>
      <c r="Z81" s="205">
        <f>IF(I110=0,J110*K110,I110*J110*K110)</f>
        <v/>
      </c>
      <c r="AA81" s="205" t="n">
        <v>1</v>
      </c>
      <c r="AB81" s="205">
        <f>$N$111</f>
        <v/>
      </c>
      <c r="AC81" s="205" t="n">
        <v>0</v>
      </c>
      <c r="AD81" s="205">
        <f>SUM(M110*N110)+M110</f>
        <v/>
      </c>
    </row>
    <row r="82">
      <c r="A82" s="202" t="inlineStr">
        <is>
          <t>PRESUPUESTO</t>
        </is>
      </c>
      <c r="B82" s="204" t="n">
        <v>113</v>
      </c>
      <c r="C82" s="204" t="n">
        <v>112</v>
      </c>
      <c r="D82" s="202" t="inlineStr">
        <is>
          <t>PANEL</t>
        </is>
      </c>
      <c r="E82" s="202" t="inlineStr">
        <is>
          <t>panel</t>
        </is>
      </c>
      <c r="F82" s="202" t="inlineStr">
        <is>
          <t>panel_panel_melamina_blanca_negra_panel_decorativo_estante_lama_16mm</t>
        </is>
      </c>
      <c r="G82" s="202" t="inlineStr">
        <is>
          <t>Panel</t>
        </is>
      </c>
      <c r="H82" s="202" t="inlineStr">
        <is>
          <t>Panel</t>
        </is>
      </c>
      <c r="I82" s="202" t="inlineStr">
        <is>
          <t>Melamina Blanca /Negra</t>
        </is>
      </c>
      <c r="J82" s="202" t="inlineStr">
        <is>
          <t xml:space="preserve">Panel decorativo/ Estante /Lama  16mm </t>
        </is>
      </c>
      <c r="K82" s="202" t="n"/>
      <c r="L82" s="202" t="inlineStr">
        <is>
          <t>Largo</t>
        </is>
      </c>
      <c r="M82" s="202" t="inlineStr">
        <is>
          <t>Ancho</t>
        </is>
      </c>
      <c r="N82" s="202" t="n"/>
      <c r="O82" s="202" t="inlineStr">
        <is>
          <t>m2</t>
        </is>
      </c>
      <c r="P82" s="202" t="inlineStr">
        <is>
          <t>UDS</t>
        </is>
      </c>
      <c r="Q82" s="205" t="inlineStr">
        <is>
          <t>€/m2</t>
        </is>
      </c>
      <c r="R82" s="205" t="n">
        <v>12</v>
      </c>
      <c r="S82" s="205" t="n">
        <v>12</v>
      </c>
      <c r="T82" s="202" t="n">
        <v>0</v>
      </c>
      <c r="U82" s="202">
        <f>F113*G113</f>
        <v/>
      </c>
      <c r="V82" s="202" t="n">
        <v>0</v>
      </c>
      <c r="W82" s="205" t="n">
        <v>0</v>
      </c>
      <c r="X82" s="205">
        <f>IFERROR(ROUNDUP((Q113/I113)/0.5,0)*0.5,0)</f>
        <v/>
      </c>
      <c r="Y82" s="205" t="n">
        <v>0</v>
      </c>
      <c r="Z82" s="205">
        <f>IF(I113=0,J113*K113,I113*J113*K113)</f>
        <v/>
      </c>
      <c r="AA82" s="205" t="n">
        <v>1</v>
      </c>
      <c r="AB82" s="205">
        <f>$N$119</f>
        <v/>
      </c>
      <c r="AC82" s="205" t="n">
        <v>0</v>
      </c>
      <c r="AD82" s="205">
        <f>SUM(M113*N113)+M113</f>
        <v/>
      </c>
    </row>
    <row r="83">
      <c r="A83" s="202" t="inlineStr">
        <is>
          <t>PRESUPUESTO</t>
        </is>
      </c>
      <c r="B83" s="204" t="n">
        <v>114</v>
      </c>
      <c r="C83" s="204" t="n">
        <v>112</v>
      </c>
      <c r="D83" s="202" t="inlineStr">
        <is>
          <t>PANEL</t>
        </is>
      </c>
      <c r="E83" s="202" t="inlineStr">
        <is>
          <t>panel</t>
        </is>
      </c>
      <c r="F83" s="202" t="inlineStr">
        <is>
          <t>panel_panel_melamina_color_panel_decorativo_estante_lama_16mm</t>
        </is>
      </c>
      <c r="G83" s="202" t="inlineStr">
        <is>
          <t>Panel</t>
        </is>
      </c>
      <c r="H83" s="202" t="inlineStr">
        <is>
          <t>Panel</t>
        </is>
      </c>
      <c r="I83" s="202" t="inlineStr">
        <is>
          <t>Melamina Color</t>
        </is>
      </c>
      <c r="J83" s="202" t="inlineStr">
        <is>
          <t xml:space="preserve">Panel decorativo/ Estante /Lama  16mm </t>
        </is>
      </c>
      <c r="K83" s="202" t="inlineStr">
        <is>
          <t>*New</t>
        </is>
      </c>
      <c r="L83" s="202" t="inlineStr">
        <is>
          <t>Largo</t>
        </is>
      </c>
      <c r="M83" s="202" t="inlineStr">
        <is>
          <t>Ancho</t>
        </is>
      </c>
      <c r="N83" s="202" t="n"/>
      <c r="O83" s="202" t="inlineStr">
        <is>
          <t>m2</t>
        </is>
      </c>
      <c r="P83" s="202" t="inlineStr">
        <is>
          <t>UDS</t>
        </is>
      </c>
      <c r="Q83" s="205" t="inlineStr">
        <is>
          <t>€/m2</t>
        </is>
      </c>
      <c r="R83" s="205" t="n">
        <v>17</v>
      </c>
      <c r="S83" s="205" t="n">
        <v>17</v>
      </c>
      <c r="T83" s="202" t="n">
        <v>0</v>
      </c>
      <c r="U83" s="202">
        <f>F114*G114</f>
        <v/>
      </c>
      <c r="V83" s="202" t="n">
        <v>0</v>
      </c>
      <c r="W83" s="205" t="n">
        <v>0</v>
      </c>
      <c r="X83" s="205">
        <f>IFERROR(ROUNDUP((Q114/I114)/0.5,0)*0.5,0)</f>
        <v/>
      </c>
      <c r="Y83" s="205" t="n">
        <v>0</v>
      </c>
      <c r="Z83" s="205">
        <f>IF(I114=0,J114*K114,I114*J114*K114)</f>
        <v/>
      </c>
      <c r="AA83" s="205" t="n">
        <v>1</v>
      </c>
      <c r="AB83" s="205">
        <f>$N$119</f>
        <v/>
      </c>
      <c r="AC83" s="205" t="n">
        <v>0</v>
      </c>
      <c r="AD83" s="205">
        <f>SUM(M114*N114)+M114</f>
        <v/>
      </c>
    </row>
    <row r="84">
      <c r="A84" s="202" t="inlineStr">
        <is>
          <t>PRESUPUESTO</t>
        </is>
      </c>
      <c r="B84" s="204" t="n">
        <v>115</v>
      </c>
      <c r="C84" s="204" t="n">
        <v>112</v>
      </c>
      <c r="D84" s="202" t="inlineStr">
        <is>
          <t>PANEL</t>
        </is>
      </c>
      <c r="E84" s="202" t="inlineStr">
        <is>
          <t>panel</t>
        </is>
      </c>
      <c r="F84" s="202" t="inlineStr">
        <is>
          <t>panel_panel_melamina_color_especial_panel_decorativo_estante_lama_16mm_19mm</t>
        </is>
      </c>
      <c r="G84" s="202" t="inlineStr">
        <is>
          <t>Panel</t>
        </is>
      </c>
      <c r="H84" s="202" t="inlineStr">
        <is>
          <t>Panel</t>
        </is>
      </c>
      <c r="I84" s="202" t="inlineStr">
        <is>
          <t>Melamina Color Especial</t>
        </is>
      </c>
      <c r="J84" s="202" t="inlineStr">
        <is>
          <t>Panel decorativo/ Estante /Lama  16mm  19mm</t>
        </is>
      </c>
      <c r="K84" s="202" t="inlineStr">
        <is>
          <t>*New</t>
        </is>
      </c>
      <c r="L84" s="202" t="inlineStr">
        <is>
          <t>Largo</t>
        </is>
      </c>
      <c r="M84" s="202" t="inlineStr">
        <is>
          <t>Ancho</t>
        </is>
      </c>
      <c r="N84" s="202" t="n"/>
      <c r="O84" s="202" t="inlineStr">
        <is>
          <t>m2</t>
        </is>
      </c>
      <c r="P84" s="202" t="inlineStr">
        <is>
          <t>UDS</t>
        </is>
      </c>
      <c r="Q84" s="205" t="inlineStr">
        <is>
          <t>€/m2</t>
        </is>
      </c>
      <c r="R84" s="205" t="n">
        <v>22</v>
      </c>
      <c r="S84" s="205" t="n">
        <v>22</v>
      </c>
      <c r="T84" s="202" t="n">
        <v>0</v>
      </c>
      <c r="U84" s="202">
        <f>F115*G115</f>
        <v/>
      </c>
      <c r="V84" s="202" t="n">
        <v>0</v>
      </c>
      <c r="W84" s="205" t="n">
        <v>0</v>
      </c>
      <c r="X84" s="205">
        <f>IFERROR(ROUNDUP((Q115/I115)/0.5,0)*0.5,0)</f>
        <v/>
      </c>
      <c r="Y84" s="205" t="n">
        <v>0</v>
      </c>
      <c r="Z84" s="205">
        <f>IF(I115=0,J115*K115,I115*J115*K115)</f>
        <v/>
      </c>
      <c r="AA84" s="205" t="n">
        <v>1</v>
      </c>
      <c r="AB84" s="205">
        <f>$N$119</f>
        <v/>
      </c>
      <c r="AC84" s="205" t="n">
        <v>0</v>
      </c>
      <c r="AD84" s="205">
        <f>SUM(M115*N115)+M115</f>
        <v/>
      </c>
    </row>
    <row r="85">
      <c r="A85" s="202" t="inlineStr">
        <is>
          <t>PRESUPUESTO</t>
        </is>
      </c>
      <c r="B85" s="204" t="n">
        <v>116</v>
      </c>
      <c r="C85" s="204" t="n">
        <v>112</v>
      </c>
      <c r="D85" s="202" t="inlineStr">
        <is>
          <t>PANEL</t>
        </is>
      </c>
      <c r="E85" s="202" t="inlineStr">
        <is>
          <t>panel</t>
        </is>
      </c>
      <c r="F85" s="202" t="inlineStr">
        <is>
          <t>panel_panel_aglomerado_panel_decorativo_estante_lama_16mm_o_19mm</t>
        </is>
      </c>
      <c r="G85" s="202" t="inlineStr">
        <is>
          <t>Panel</t>
        </is>
      </c>
      <c r="H85" s="202" t="inlineStr">
        <is>
          <t>Panel</t>
        </is>
      </c>
      <c r="I85" s="202" t="inlineStr">
        <is>
          <t xml:space="preserve">Aglomerado </t>
        </is>
      </c>
      <c r="J85" s="202" t="inlineStr">
        <is>
          <t>Panel decorativo/ Estante /Lama  16mm o 19mm</t>
        </is>
      </c>
      <c r="K85" s="202" t="n"/>
      <c r="L85" s="202" t="inlineStr">
        <is>
          <t>Largo</t>
        </is>
      </c>
      <c r="M85" s="202" t="inlineStr">
        <is>
          <t>Ancho</t>
        </is>
      </c>
      <c r="N85" s="202" t="n"/>
      <c r="O85" s="202" t="inlineStr">
        <is>
          <t>m2</t>
        </is>
      </c>
      <c r="P85" s="202" t="inlineStr">
        <is>
          <t>UDS</t>
        </is>
      </c>
      <c r="Q85" s="205" t="inlineStr">
        <is>
          <t>€/m2</t>
        </is>
      </c>
      <c r="R85" s="205" t="n">
        <v>10</v>
      </c>
      <c r="S85" s="205" t="n">
        <v>10</v>
      </c>
      <c r="T85" s="202" t="n">
        <v>0</v>
      </c>
      <c r="U85" s="202">
        <f>F116*G116</f>
        <v/>
      </c>
      <c r="V85" s="202" t="n">
        <v>0</v>
      </c>
      <c r="W85" s="205" t="n">
        <v>0</v>
      </c>
      <c r="X85" s="205">
        <f>IFERROR(ROUNDUP((Q116/I116)/0.5,0)*0.5,0)</f>
        <v/>
      </c>
      <c r="Y85" s="205" t="n">
        <v>0</v>
      </c>
      <c r="Z85" s="205">
        <f>IF(I116=0,J116*K116,I116*J116*K116)</f>
        <v/>
      </c>
      <c r="AA85" s="205" t="n">
        <v>1</v>
      </c>
      <c r="AB85" s="205">
        <f>$N$119</f>
        <v/>
      </c>
      <c r="AC85" s="205" t="n">
        <v>0</v>
      </c>
      <c r="AD85" s="205">
        <f>SUM(M116*N116)+M116</f>
        <v/>
      </c>
    </row>
    <row r="86">
      <c r="A86" s="202" t="inlineStr">
        <is>
          <t>PRESUPUESTO</t>
        </is>
      </c>
      <c r="B86" s="204" t="n">
        <v>117</v>
      </c>
      <c r="C86" s="204" t="n">
        <v>112</v>
      </c>
      <c r="D86" s="202" t="inlineStr">
        <is>
          <t>PANEL</t>
        </is>
      </c>
      <c r="E86" s="202" t="inlineStr">
        <is>
          <t>panel</t>
        </is>
      </c>
      <c r="F86" s="202" t="inlineStr">
        <is>
          <t>panel_panel_chopo_15mm_panel_decorativo_estante_lama_15mm</t>
        </is>
      </c>
      <c r="G86" s="202" t="inlineStr">
        <is>
          <t>Panel</t>
        </is>
      </c>
      <c r="H86" s="202" t="inlineStr">
        <is>
          <t>Panel</t>
        </is>
      </c>
      <c r="I86" s="202" t="inlineStr">
        <is>
          <t>Chopo 15mm</t>
        </is>
      </c>
      <c r="J86" s="202" t="inlineStr">
        <is>
          <t>Panel decorativo/ Estante /Lama  15mm</t>
        </is>
      </c>
      <c r="K86" s="202" t="n"/>
      <c r="L86" s="202" t="inlineStr">
        <is>
          <t>Largo</t>
        </is>
      </c>
      <c r="M86" s="202" t="inlineStr">
        <is>
          <t>Ancho</t>
        </is>
      </c>
      <c r="N86" s="202" t="n"/>
      <c r="O86" s="202" t="inlineStr">
        <is>
          <t>m2</t>
        </is>
      </c>
      <c r="P86" s="202" t="inlineStr">
        <is>
          <t>UDS</t>
        </is>
      </c>
      <c r="Q86" s="205" t="inlineStr">
        <is>
          <t>€/m2</t>
        </is>
      </c>
      <c r="R86" s="205" t="n">
        <v>14.5</v>
      </c>
      <c r="S86" s="205" t="n">
        <v>14.5</v>
      </c>
      <c r="T86" s="202" t="n">
        <v>0</v>
      </c>
      <c r="U86" s="202">
        <f>F117*G117</f>
        <v/>
      </c>
      <c r="V86" s="202" t="n">
        <v>0</v>
      </c>
      <c r="W86" s="205" t="n">
        <v>0</v>
      </c>
      <c r="X86" s="205">
        <f>IFERROR(ROUNDUP((Q117/I117)/0.5,0)*0.5,0)</f>
        <v/>
      </c>
      <c r="Y86" s="205" t="n">
        <v>0</v>
      </c>
      <c r="Z86" s="205">
        <f>IF(I117=0,J117*K117,I117*J117*K117)</f>
        <v/>
      </c>
      <c r="AA86" s="205" t="n">
        <v>1</v>
      </c>
      <c r="AB86" s="205">
        <f>$N$119</f>
        <v/>
      </c>
      <c r="AC86" s="205" t="n">
        <v>0</v>
      </c>
      <c r="AD86" s="205">
        <f>SUM(M117*N117)+M117</f>
        <v/>
      </c>
    </row>
    <row r="87">
      <c r="A87" s="202" t="inlineStr">
        <is>
          <t>PRESUPUESTO</t>
        </is>
      </c>
      <c r="B87" s="204" t="n">
        <v>118</v>
      </c>
      <c r="C87" s="204" t="n">
        <v>112</v>
      </c>
      <c r="D87" s="202" t="inlineStr">
        <is>
          <t>PANEL</t>
        </is>
      </c>
      <c r="E87" s="202" t="inlineStr">
        <is>
          <t>panel</t>
        </is>
      </c>
      <c r="F87" s="202" t="inlineStr">
        <is>
          <t>panel_panel_mdf_panel_decorativo_estante_lama_30mm</t>
        </is>
      </c>
      <c r="G87" s="202" t="inlineStr">
        <is>
          <t>Panel</t>
        </is>
      </c>
      <c r="H87" s="202" t="inlineStr">
        <is>
          <t>Panel</t>
        </is>
      </c>
      <c r="I87" s="202" t="inlineStr">
        <is>
          <t>MDF</t>
        </is>
      </c>
      <c r="J87" s="202" t="inlineStr">
        <is>
          <t>Panel decorativo/ Estante /Lama  30mm</t>
        </is>
      </c>
      <c r="K87" s="202" t="n"/>
      <c r="L87" s="202" t="inlineStr">
        <is>
          <t>Largo</t>
        </is>
      </c>
      <c r="M87" s="202" t="inlineStr">
        <is>
          <t>Ancho</t>
        </is>
      </c>
      <c r="N87" s="202" t="n"/>
      <c r="O87" s="202" t="inlineStr">
        <is>
          <t>m2</t>
        </is>
      </c>
      <c r="P87" s="202" t="inlineStr">
        <is>
          <t>UDS</t>
        </is>
      </c>
      <c r="Q87" s="205" t="inlineStr">
        <is>
          <t>€/m2</t>
        </is>
      </c>
      <c r="R87" s="205" t="n">
        <v>30</v>
      </c>
      <c r="S87" s="205" t="n">
        <v>30</v>
      </c>
      <c r="T87" s="202" t="n">
        <v>0</v>
      </c>
      <c r="U87" s="202">
        <f>F118*G118</f>
        <v/>
      </c>
      <c r="V87" s="202" t="n">
        <v>0</v>
      </c>
      <c r="W87" s="205" t="n">
        <v>0</v>
      </c>
      <c r="X87" s="205">
        <f>IFERROR(ROUNDUP((Q118/I118)/0.5,0)*0.5,0)</f>
        <v/>
      </c>
      <c r="Y87" s="205" t="n">
        <v>0</v>
      </c>
      <c r="Z87" s="205">
        <f>IF(I118=0,J118*K118,I118*J118*K118)</f>
        <v/>
      </c>
      <c r="AA87" s="205" t="n">
        <v>1</v>
      </c>
      <c r="AB87" s="205">
        <f>$N$119</f>
        <v/>
      </c>
      <c r="AC87" s="205" t="n">
        <v>0</v>
      </c>
      <c r="AD87" s="205">
        <f>SUM(M118*N118)+M118</f>
        <v/>
      </c>
    </row>
    <row r="88">
      <c r="A88" s="202" t="inlineStr">
        <is>
          <t>PRESUPUESTO</t>
        </is>
      </c>
      <c r="B88" s="204" t="n">
        <v>121</v>
      </c>
      <c r="C88" s="204" t="n">
        <v>120</v>
      </c>
      <c r="D88" s="202" t="inlineStr">
        <is>
          <t>TAPETAS</t>
        </is>
      </c>
      <c r="E88" s="202" t="inlineStr">
        <is>
          <t>tapetas</t>
        </is>
      </c>
      <c r="F88" s="202" t="inlineStr">
        <is>
          <t>tapetas_tapetas_mdf_5mm_minimo_1m2_por_tira</t>
        </is>
      </c>
      <c r="G88" s="202" t="inlineStr">
        <is>
          <t>Tapetas</t>
        </is>
      </c>
      <c r="H88" s="202" t="inlineStr">
        <is>
          <t>Tapetas</t>
        </is>
      </c>
      <c r="I88" s="202" t="inlineStr">
        <is>
          <t>MDF</t>
        </is>
      </c>
      <c r="J88" s="202" t="inlineStr">
        <is>
          <t>5mm (Minimo 1m2 por tira)</t>
        </is>
      </c>
      <c r="K88" s="202" t="n"/>
      <c r="L88" s="202" t="inlineStr">
        <is>
          <t>Largo</t>
        </is>
      </c>
      <c r="M88" s="202" t="inlineStr">
        <is>
          <t>Ancho</t>
        </is>
      </c>
      <c r="N88" s="202" t="n"/>
      <c r="O88" s="202" t="inlineStr">
        <is>
          <t>m2</t>
        </is>
      </c>
      <c r="P88" s="202" t="inlineStr">
        <is>
          <t>UDS</t>
        </is>
      </c>
      <c r="Q88" s="205" t="inlineStr">
        <is>
          <t>€/m2</t>
        </is>
      </c>
      <c r="R88" s="205" t="n">
        <v>5</v>
      </c>
      <c r="S88" s="205" t="n">
        <v>5</v>
      </c>
      <c r="T88" s="202" t="n">
        <v>0</v>
      </c>
      <c r="U88" s="202">
        <f>F121*G121</f>
        <v/>
      </c>
      <c r="V88" s="202" t="n">
        <v>0</v>
      </c>
      <c r="W88" s="205" t="n">
        <v>0</v>
      </c>
      <c r="X88" s="205">
        <f>IFERROR(ROUNDUP((Q121/I121)/0.5,0)*0.5,0)</f>
        <v/>
      </c>
      <c r="Y88" s="205" t="n">
        <v>0</v>
      </c>
      <c r="Z88" s="205">
        <f>IF(I121=0,J121*K121,I121*J121*K121)</f>
        <v/>
      </c>
      <c r="AA88" s="205" t="n">
        <v>1</v>
      </c>
      <c r="AB88" s="205">
        <f>$N$64</f>
        <v/>
      </c>
      <c r="AC88" s="205" t="n">
        <v>0</v>
      </c>
      <c r="AD88" s="205">
        <f>SUM(M121*N121)+M121</f>
        <v/>
      </c>
    </row>
    <row r="89">
      <c r="A89" s="202" t="inlineStr">
        <is>
          <t>PRESUPUESTO</t>
        </is>
      </c>
      <c r="B89" s="204" t="n">
        <v>124</v>
      </c>
      <c r="C89" s="204" t="n">
        <v>123</v>
      </c>
      <c r="D89" s="202" t="inlineStr">
        <is>
          <t>CURVAS</t>
        </is>
      </c>
      <c r="E89" s="202" t="inlineStr">
        <is>
          <t>curvas</t>
        </is>
      </c>
      <c r="F89" s="202" t="inlineStr">
        <is>
          <t>curvas_curvas_chopo_para_pintar_chopo_5mm_a_1_caras_minimo_1m2_por_tira</t>
        </is>
      </c>
      <c r="G89" s="202" t="inlineStr">
        <is>
          <t>Curvas</t>
        </is>
      </c>
      <c r="H89" s="202" t="inlineStr">
        <is>
          <t>Curvas</t>
        </is>
      </c>
      <c r="I89" s="202" t="inlineStr">
        <is>
          <t>Chopo</t>
        </is>
      </c>
      <c r="J89" s="202" t="inlineStr">
        <is>
          <t>Para Pintar Chopo 5mm a 1 caras (Minimo 1m2 por tira)</t>
        </is>
      </c>
      <c r="K89" s="202" t="n"/>
      <c r="L89" s="202" t="inlineStr">
        <is>
          <t>Ancho</t>
        </is>
      </c>
      <c r="M89" s="202" t="inlineStr">
        <is>
          <t>Fondo</t>
        </is>
      </c>
      <c r="N89" s="202" t="inlineStr">
        <is>
          <t>Alto</t>
        </is>
      </c>
      <c r="O89" s="202" t="inlineStr">
        <is>
          <t>m2</t>
        </is>
      </c>
      <c r="P89" s="202" t="inlineStr">
        <is>
          <t>UDS</t>
        </is>
      </c>
      <c r="Q89" s="205" t="inlineStr">
        <is>
          <t>€/m2</t>
        </is>
      </c>
      <c r="R89" s="205" t="n">
        <v>44</v>
      </c>
      <c r="S89" s="205" t="n">
        <v>44</v>
      </c>
      <c r="T89" s="202" t="n">
        <v>0</v>
      </c>
      <c r="U89" s="202">
        <f>F124*G124</f>
        <v/>
      </c>
      <c r="V89" s="202" t="n">
        <v>0</v>
      </c>
      <c r="W89" s="205" t="n">
        <v>0</v>
      </c>
      <c r="X89" s="205">
        <f>IFERROR(ROUNDUP((Q124/I124)/0.5,0)*0.5,0)</f>
        <v/>
      </c>
      <c r="Y89" s="205" t="n">
        <v>0</v>
      </c>
      <c r="Z89" s="205">
        <f>IF(I124=0,J124*K124,I124*J124*K124)</f>
        <v/>
      </c>
      <c r="AA89" s="205" t="n">
        <v>1</v>
      </c>
      <c r="AB89" s="205">
        <f>$N$126</f>
        <v/>
      </c>
      <c r="AC89" s="205" t="n">
        <v>0</v>
      </c>
      <c r="AD89" s="205">
        <f>SUM(M124*N124)+M124</f>
        <v/>
      </c>
    </row>
    <row r="90">
      <c r="A90" s="202" t="inlineStr">
        <is>
          <t>PRESUPUESTO</t>
        </is>
      </c>
      <c r="B90" s="204" t="n">
        <v>125</v>
      </c>
      <c r="C90" s="204" t="n">
        <v>123</v>
      </c>
      <c r="D90" s="202" t="inlineStr">
        <is>
          <t>CURVAS</t>
        </is>
      </c>
      <c r="E90" s="202" t="inlineStr">
        <is>
          <t>curvas</t>
        </is>
      </c>
      <c r="F90" s="202" t="inlineStr">
        <is>
          <t>curvas_curvas_chopo_para_pintar_chopo_5mm_a_2_caras_minimo_1m2_por_tira</t>
        </is>
      </c>
      <c r="G90" s="202" t="inlineStr">
        <is>
          <t>Curvas</t>
        </is>
      </c>
      <c r="H90" s="202" t="inlineStr">
        <is>
          <t>Curvas</t>
        </is>
      </c>
      <c r="I90" s="202" t="inlineStr">
        <is>
          <t>Chopo</t>
        </is>
      </c>
      <c r="J90" s="202" t="inlineStr">
        <is>
          <t>Para Pintar Chopo 5mm a 2 caras (Minimo 1m2 por tira)</t>
        </is>
      </c>
      <c r="K90" s="202" t="n"/>
      <c r="L90" s="202" t="inlineStr">
        <is>
          <t>Ancho</t>
        </is>
      </c>
      <c r="M90" s="202" t="inlineStr">
        <is>
          <t>Fondo</t>
        </is>
      </c>
      <c r="N90" s="202" t="inlineStr">
        <is>
          <t>Alto</t>
        </is>
      </c>
      <c r="O90" s="202" t="inlineStr">
        <is>
          <t>m2</t>
        </is>
      </c>
      <c r="P90" s="202" t="inlineStr">
        <is>
          <t>UDS</t>
        </is>
      </c>
      <c r="Q90" s="205" t="inlineStr">
        <is>
          <t>€/m2</t>
        </is>
      </c>
      <c r="R90" s="205" t="n">
        <v>58</v>
      </c>
      <c r="S90" s="205" t="n">
        <v>58</v>
      </c>
      <c r="T90" s="202" t="n">
        <v>0</v>
      </c>
      <c r="U90" s="202">
        <f>F125*G125</f>
        <v/>
      </c>
      <c r="V90" s="202" t="n">
        <v>0</v>
      </c>
      <c r="W90" s="205" t="n">
        <v>0</v>
      </c>
      <c r="X90" s="205">
        <f>IFERROR(ROUNDUP((Q125/I125)/0.5,0)*0.5,0)</f>
        <v/>
      </c>
      <c r="Y90" s="205" t="n">
        <v>0</v>
      </c>
      <c r="Z90" s="205">
        <f>IF(I125=0,J125*K125,I125*J125*K125)</f>
        <v/>
      </c>
      <c r="AA90" s="205" t="n">
        <v>1</v>
      </c>
      <c r="AB90" s="205">
        <f>$N$126</f>
        <v/>
      </c>
      <c r="AC90" s="205" t="n">
        <v>0</v>
      </c>
      <c r="AD90" s="205">
        <f>SUM(M125*N125)+M125</f>
        <v/>
      </c>
    </row>
    <row r="91">
      <c r="A91" s="202" t="inlineStr">
        <is>
          <t>PRESUPUESTO</t>
        </is>
      </c>
      <c r="B91" s="204" t="n">
        <v>128</v>
      </c>
      <c r="C91" s="204" t="n">
        <v>127</v>
      </c>
      <c r="D91" s="202" t="inlineStr">
        <is>
          <t>CNC</t>
        </is>
      </c>
      <c r="E91" s="202" t="inlineStr">
        <is>
          <t>mecanizados</t>
        </is>
      </c>
      <c r="F91" s="202" t="inlineStr">
        <is>
          <t>mecanizados_cnc_cnc</t>
        </is>
      </c>
      <c r="G91" s="202" t="inlineStr">
        <is>
          <t>Mecanizados</t>
        </is>
      </c>
      <c r="H91" s="202" t="inlineStr">
        <is>
          <t>CNC</t>
        </is>
      </c>
      <c r="I91" s="202" t="n"/>
      <c r="J91" s="202" t="inlineStr">
        <is>
          <t>Cnc</t>
        </is>
      </c>
      <c r="K91" s="202" t="inlineStr">
        <is>
          <t>Verificar precio</t>
        </is>
      </c>
      <c r="L91" s="202" t="n"/>
      <c r="M91" s="202" t="n"/>
      <c r="N91" s="202" t="n"/>
      <c r="O91" s="202" t="n"/>
      <c r="P91" s="202" t="inlineStr">
        <is>
          <t>UDS</t>
        </is>
      </c>
      <c r="Q91" s="205" t="inlineStr">
        <is>
          <t>€/Uds</t>
        </is>
      </c>
      <c r="R91" s="205" t="n">
        <v>23</v>
      </c>
      <c r="S91" s="205" t="n">
        <v>23</v>
      </c>
      <c r="T91" s="202" t="n"/>
      <c r="U91" s="202" t="n"/>
      <c r="V91" s="202" t="n">
        <v>0</v>
      </c>
      <c r="W91" s="205" t="n">
        <v>0</v>
      </c>
      <c r="X91" s="205">
        <f>IFERROR(ROUNDUP((Q128/J128)/0.5,0)*0.5,0)</f>
        <v/>
      </c>
      <c r="Y91" s="205" t="n">
        <v>0</v>
      </c>
      <c r="Z91" s="205">
        <f>IF(I128=0,J128*K128,I128*J128*K128)</f>
        <v/>
      </c>
      <c r="AA91" s="205" t="n">
        <v>1</v>
      </c>
      <c r="AB91" s="205">
        <f>$N$132</f>
        <v/>
      </c>
      <c r="AC91" s="205" t="n">
        <v>0</v>
      </c>
      <c r="AD91" s="205">
        <f>SUM(M128*N128)+M128</f>
        <v/>
      </c>
    </row>
    <row r="92">
      <c r="A92" s="202" t="inlineStr">
        <is>
          <t>PRESUPUESTO</t>
        </is>
      </c>
      <c r="B92" s="204" t="n">
        <v>130</v>
      </c>
      <c r="C92" s="204" t="n">
        <v>129</v>
      </c>
      <c r="D92" s="202" t="inlineStr">
        <is>
          <t>LED</t>
        </is>
      </c>
      <c r="E92" s="202" t="inlineStr">
        <is>
          <t>mecanizados</t>
        </is>
      </c>
      <c r="F92" s="202" t="inlineStr">
        <is>
          <t>mecanizados_led_regata_regata_led_recta</t>
        </is>
      </c>
      <c r="G92" s="202" t="inlineStr">
        <is>
          <t>Mecanizados</t>
        </is>
      </c>
      <c r="H92" s="202" t="inlineStr">
        <is>
          <t>Led</t>
        </is>
      </c>
      <c r="I92" s="202" t="inlineStr">
        <is>
          <t>Regata</t>
        </is>
      </c>
      <c r="J92" s="202" t="inlineStr">
        <is>
          <t>Regata Led Recta</t>
        </is>
      </c>
      <c r="K92" s="202" t="n"/>
      <c r="L92" s="202" t="n"/>
      <c r="M92" s="202" t="n"/>
      <c r="N92" s="202" t="n"/>
      <c r="O92" s="202" t="inlineStr">
        <is>
          <t>ml</t>
        </is>
      </c>
      <c r="P92" s="202" t="inlineStr">
        <is>
          <t>UDS</t>
        </is>
      </c>
      <c r="Q92" s="205" t="inlineStr">
        <is>
          <t>€/ml</t>
        </is>
      </c>
      <c r="R92" s="205" t="n">
        <v>5</v>
      </c>
      <c r="S92" s="205" t="n">
        <v>5</v>
      </c>
      <c r="T92" s="202" t="n">
        <v>0</v>
      </c>
      <c r="U92" s="202" t="n"/>
      <c r="V92" s="202" t="n">
        <v>0</v>
      </c>
      <c r="W92" s="205" t="n">
        <v>0</v>
      </c>
      <c r="X92" s="205">
        <f>IFERROR(ROUNDUP((Q130/I130)/0.5,0)*0.5,0)</f>
        <v/>
      </c>
      <c r="Y92" s="205" t="n">
        <v>0</v>
      </c>
      <c r="Z92" s="205">
        <f>IF(I130=0,J130*K130,I130*J130*K130)</f>
        <v/>
      </c>
      <c r="AA92" s="205" t="n">
        <v>1</v>
      </c>
      <c r="AB92" s="205">
        <f>$N$14</f>
        <v/>
      </c>
      <c r="AC92" s="205" t="n">
        <v>0</v>
      </c>
      <c r="AD92" s="205">
        <f>SUM(M130*N130)+M130</f>
        <v/>
      </c>
    </row>
    <row r="93">
      <c r="A93" s="202" t="inlineStr">
        <is>
          <t>PRESUPUESTO</t>
        </is>
      </c>
      <c r="B93" s="204" t="n">
        <v>131</v>
      </c>
      <c r="C93" s="204" t="n">
        <v>129</v>
      </c>
      <c r="D93" s="202" t="inlineStr">
        <is>
          <t>LED</t>
        </is>
      </c>
      <c r="E93" s="202" t="inlineStr">
        <is>
          <t>mecanizados</t>
        </is>
      </c>
      <c r="F93" s="202" t="inlineStr">
        <is>
          <t>mecanizados_led_regata_regata_led_diagonal_o_curva</t>
        </is>
      </c>
      <c r="G93" s="202" t="inlineStr">
        <is>
          <t>Mecanizados</t>
        </is>
      </c>
      <c r="H93" s="202" t="inlineStr">
        <is>
          <t>Led</t>
        </is>
      </c>
      <c r="I93" s="202" t="inlineStr">
        <is>
          <t>Regata</t>
        </is>
      </c>
      <c r="J93" s="202" t="inlineStr">
        <is>
          <t>Regata Led Diagonal o Curva</t>
        </is>
      </c>
      <c r="K93" s="202" t="n"/>
      <c r="L93" s="202" t="n"/>
      <c r="M93" s="202" t="n"/>
      <c r="N93" s="202" t="n"/>
      <c r="O93" s="202" t="inlineStr">
        <is>
          <t>ml</t>
        </is>
      </c>
      <c r="P93" s="202" t="inlineStr">
        <is>
          <t>UDS</t>
        </is>
      </c>
      <c r="Q93" s="205" t="inlineStr">
        <is>
          <t>€/ml</t>
        </is>
      </c>
      <c r="R93" s="205" t="n">
        <v>10</v>
      </c>
      <c r="S93" s="205" t="n">
        <v>10</v>
      </c>
      <c r="T93" s="202" t="n">
        <v>0</v>
      </c>
      <c r="U93" s="202" t="n"/>
      <c r="V93" s="202" t="n">
        <v>0</v>
      </c>
      <c r="W93" s="205" t="n">
        <v>0</v>
      </c>
      <c r="X93" s="205">
        <f>IFERROR(ROUNDUP((Q131/I131)/0.5,0)*0.5,0)</f>
        <v/>
      </c>
      <c r="Y93" s="205" t="n">
        <v>0</v>
      </c>
      <c r="Z93" s="205">
        <f>IF(I131=0,J131*K131,I131*J131*K131)</f>
        <v/>
      </c>
      <c r="AA93" s="205" t="n">
        <v>1</v>
      </c>
      <c r="AB93" s="205">
        <f>$N$14</f>
        <v/>
      </c>
      <c r="AC93" s="205" t="n">
        <v>0</v>
      </c>
      <c r="AD93" s="205">
        <f>SUM(M131*N131)+M131</f>
        <v/>
      </c>
    </row>
    <row r="94">
      <c r="A94" s="202" t="inlineStr">
        <is>
          <t>PRESUPUESTO</t>
        </is>
      </c>
      <c r="B94" s="204" t="n">
        <v>134</v>
      </c>
      <c r="C94" s="204" t="n">
        <v>133</v>
      </c>
      <c r="D94" s="202" t="inlineStr">
        <is>
          <t>HERRERO</t>
        </is>
      </c>
      <c r="E94" s="202" t="inlineStr">
        <is>
          <t>herrero</t>
        </is>
      </c>
      <c r="F94" s="202" t="inlineStr">
        <is>
          <t>herrero_herrero_hierro_pintado_estructura_metalica_perfil_pequena_tipo_mesita_noche</t>
        </is>
      </c>
      <c r="G94" s="202" t="inlineStr">
        <is>
          <t>Herrero</t>
        </is>
      </c>
      <c r="H94" s="202" t="inlineStr">
        <is>
          <t>Herrero</t>
        </is>
      </c>
      <c r="I94" s="202" t="inlineStr">
        <is>
          <t>Hierro pintado</t>
        </is>
      </c>
      <c r="J94" s="202" t="inlineStr">
        <is>
          <t>Estructura Metalica (Perfil) pequeña tipo mesita noche</t>
        </is>
      </c>
      <c r="K94" s="202" t="inlineStr">
        <is>
          <t>*New</t>
        </is>
      </c>
      <c r="L94" s="202" t="n"/>
      <c r="M94" s="202" t="n"/>
      <c r="N94" s="202" t="n"/>
      <c r="O94" s="202" t="n"/>
      <c r="P94" s="202" t="inlineStr">
        <is>
          <t>UDS</t>
        </is>
      </c>
      <c r="Q94" s="205" t="inlineStr">
        <is>
          <t>€/Uni</t>
        </is>
      </c>
      <c r="R94" s="205" t="n">
        <v>450</v>
      </c>
      <c r="S94" s="205" t="n">
        <v>450</v>
      </c>
      <c r="T94" s="202" t="n"/>
      <c r="U94" s="202" t="n"/>
      <c r="V94" s="202" t="n">
        <v>0</v>
      </c>
      <c r="W94" s="205" t="n">
        <v>0</v>
      </c>
      <c r="X94" s="205">
        <f>IFERROR(ROUNDUP((Q134/J134)/0.5,0)*0.5,0)</f>
        <v/>
      </c>
      <c r="Y94" s="205" t="n">
        <v>0</v>
      </c>
      <c r="Z94" s="205">
        <f>IF(I134=0,J134*K134,I134*J134*K134)</f>
        <v/>
      </c>
      <c r="AA94" s="205" t="n">
        <v>1</v>
      </c>
      <c r="AB94" s="205">
        <f>$N$111</f>
        <v/>
      </c>
      <c r="AC94" s="205" t="n">
        <v>0</v>
      </c>
      <c r="AD94" s="205">
        <f>SUM(M134*N134)+M134</f>
        <v/>
      </c>
    </row>
    <row r="95">
      <c r="A95" s="202" t="inlineStr">
        <is>
          <t>PRESUPUESTO</t>
        </is>
      </c>
      <c r="B95" s="204" t="n">
        <v>135</v>
      </c>
      <c r="C95" s="204" t="n">
        <v>133</v>
      </c>
      <c r="D95" s="202" t="inlineStr">
        <is>
          <t>HERRERO</t>
        </is>
      </c>
      <c r="E95" s="202" t="inlineStr">
        <is>
          <t>herrero</t>
        </is>
      </c>
      <c r="F95" s="202" t="inlineStr">
        <is>
          <t>herrero_herrero_hierro_pintado_estructura_metalica_perfil_pequena_tipo_mesa</t>
        </is>
      </c>
      <c r="G95" s="202" t="inlineStr">
        <is>
          <t>Herrero</t>
        </is>
      </c>
      <c r="H95" s="202" t="inlineStr">
        <is>
          <t>Herrero</t>
        </is>
      </c>
      <c r="I95" s="202" t="inlineStr">
        <is>
          <t>Hierro pintado</t>
        </is>
      </c>
      <c r="J95" s="202" t="inlineStr">
        <is>
          <t>Estructura Metalica (Perfil) pequeña tipo mesa</t>
        </is>
      </c>
      <c r="K95" s="202" t="inlineStr">
        <is>
          <t>*New</t>
        </is>
      </c>
      <c r="L95" s="202" t="n"/>
      <c r="M95" s="202" t="n"/>
      <c r="N95" s="202" t="n"/>
      <c r="O95" s="202" t="n"/>
      <c r="P95" s="202" t="inlineStr">
        <is>
          <t>UDS</t>
        </is>
      </c>
      <c r="Q95" s="205" t="inlineStr">
        <is>
          <t>€/Uni</t>
        </is>
      </c>
      <c r="R95" s="205" t="n">
        <v>650</v>
      </c>
      <c r="S95" s="205" t="n">
        <v>650</v>
      </c>
      <c r="T95" s="202" t="n"/>
      <c r="U95" s="202" t="n"/>
      <c r="V95" s="202" t="n">
        <v>0</v>
      </c>
      <c r="W95" s="205" t="n">
        <v>0</v>
      </c>
      <c r="X95" s="205">
        <f>IFERROR(ROUNDUP((Q135/J135)/0.5,0)*0.5,0)</f>
        <v/>
      </c>
      <c r="Y95" s="205" t="n">
        <v>0</v>
      </c>
      <c r="Z95" s="205">
        <f>IF(I135=0,J135*K135,I135*J135*K135)</f>
        <v/>
      </c>
      <c r="AA95" s="205" t="n">
        <v>1</v>
      </c>
      <c r="AB95" s="205">
        <f>$N$111</f>
        <v/>
      </c>
      <c r="AC95" s="205" t="n">
        <v>0</v>
      </c>
      <c r="AD95" s="205">
        <f>SUM(M135*N135)+M135</f>
        <v/>
      </c>
    </row>
    <row r="96">
      <c r="A96" s="202" t="inlineStr">
        <is>
          <t>PRESUPUESTO</t>
        </is>
      </c>
      <c r="B96" s="204" t="n">
        <v>136</v>
      </c>
      <c r="C96" s="204" t="n">
        <v>133</v>
      </c>
      <c r="D96" s="202" t="inlineStr">
        <is>
          <t>HERRERO</t>
        </is>
      </c>
      <c r="E96" s="202" t="inlineStr">
        <is>
          <t>herrero</t>
        </is>
      </c>
      <c r="F96" s="202" t="inlineStr">
        <is>
          <t>herrero_herrero_hierro_pintado_estructura_metalica_perfil_pequena_tipo_mesa_compleja</t>
        </is>
      </c>
      <c r="G96" s="202" t="inlineStr">
        <is>
          <t>Herrero</t>
        </is>
      </c>
      <c r="H96" s="202" t="inlineStr">
        <is>
          <t>Herrero</t>
        </is>
      </c>
      <c r="I96" s="202" t="inlineStr">
        <is>
          <t>Hierro pintado</t>
        </is>
      </c>
      <c r="J96" s="202" t="inlineStr">
        <is>
          <t>Estructura Metalica (Perfil) pequeña tipo mesa compleja</t>
        </is>
      </c>
      <c r="K96" s="202" t="inlineStr">
        <is>
          <t>*New</t>
        </is>
      </c>
      <c r="L96" s="202" t="n"/>
      <c r="M96" s="202" t="n"/>
      <c r="N96" s="202" t="n"/>
      <c r="O96" s="202" t="n"/>
      <c r="P96" s="202" t="inlineStr">
        <is>
          <t>UDS</t>
        </is>
      </c>
      <c r="Q96" s="205" t="inlineStr">
        <is>
          <t>€/Uni</t>
        </is>
      </c>
      <c r="R96" s="205" t="n">
        <v>1070</v>
      </c>
      <c r="S96" s="205" t="n">
        <v>1070</v>
      </c>
      <c r="T96" s="202" t="n"/>
      <c r="U96" s="202" t="n"/>
      <c r="V96" s="202" t="n">
        <v>0</v>
      </c>
      <c r="W96" s="205" t="n">
        <v>0</v>
      </c>
      <c r="X96" s="205">
        <f>IFERROR(ROUNDUP((Q136/J136)/0.5,0)*0.5,0)</f>
        <v/>
      </c>
      <c r="Y96" s="205" t="n">
        <v>0</v>
      </c>
      <c r="Z96" s="205">
        <f>IF(I136=0,J136*K136,I136*J136*K136)</f>
        <v/>
      </c>
      <c r="AA96" s="205" t="n">
        <v>1</v>
      </c>
      <c r="AB96" s="205">
        <f>$N$111</f>
        <v/>
      </c>
      <c r="AC96" s="205" t="n">
        <v>0</v>
      </c>
      <c r="AD96" s="205">
        <f>SUM(M136*N136)+M136</f>
        <v/>
      </c>
    </row>
    <row r="97">
      <c r="A97" s="202" t="inlineStr">
        <is>
          <t>PRESUPUESTO</t>
        </is>
      </c>
      <c r="B97" s="204" t="n">
        <v>137</v>
      </c>
      <c r="C97" s="204" t="n">
        <v>133</v>
      </c>
      <c r="D97" s="202" t="inlineStr">
        <is>
          <t>HERRERO</t>
        </is>
      </c>
      <c r="E97" s="202" t="inlineStr">
        <is>
          <t>herrero</t>
        </is>
      </c>
      <c r="F97" s="202" t="inlineStr">
        <is>
          <t>herrero_herrero_hierro_pintado_estructura_metalica_perfil_pequena_tipo_estanteria</t>
        </is>
      </c>
      <c r="G97" s="202" t="inlineStr">
        <is>
          <t>Herrero</t>
        </is>
      </c>
      <c r="H97" s="202" t="inlineStr">
        <is>
          <t>Herrero</t>
        </is>
      </c>
      <c r="I97" s="202" t="inlineStr">
        <is>
          <t>Hierro pintado</t>
        </is>
      </c>
      <c r="J97" s="202" t="inlineStr">
        <is>
          <t>Estructura Metalica (Perfil) pequeña tipo estanteria</t>
        </is>
      </c>
      <c r="K97" s="202" t="inlineStr">
        <is>
          <t>*New</t>
        </is>
      </c>
      <c r="L97" s="202" t="n"/>
      <c r="M97" s="202" t="n"/>
      <c r="N97" s="202" t="n"/>
      <c r="O97" s="202" t="n"/>
      <c r="P97" s="202" t="inlineStr">
        <is>
          <t>UDS</t>
        </is>
      </c>
      <c r="Q97" s="205" t="inlineStr">
        <is>
          <t>€/Uni</t>
        </is>
      </c>
      <c r="R97" s="205" t="n">
        <v>1270</v>
      </c>
      <c r="S97" s="205" t="n">
        <v>1270</v>
      </c>
      <c r="T97" s="202" t="n"/>
      <c r="U97" s="202" t="n"/>
      <c r="V97" s="202" t="n">
        <v>0</v>
      </c>
      <c r="W97" s="205" t="n">
        <v>0</v>
      </c>
      <c r="X97" s="205">
        <f>IFERROR(ROUNDUP((Q137/J137)/0.5,0)*0.5,0)</f>
        <v/>
      </c>
      <c r="Y97" s="205" t="n">
        <v>0</v>
      </c>
      <c r="Z97" s="205">
        <f>IF(I137=0,J137*K137,I137*J137*K137)</f>
        <v/>
      </c>
      <c r="AA97" s="205" t="n">
        <v>1</v>
      </c>
      <c r="AB97" s="205">
        <f>$N$111</f>
        <v/>
      </c>
      <c r="AC97" s="205" t="n">
        <v>0</v>
      </c>
      <c r="AD97" s="205">
        <f>SUM(M137*N137)+M137</f>
        <v/>
      </c>
    </row>
    <row r="98">
      <c r="A98" s="202" t="inlineStr">
        <is>
          <t>PRESUPUESTO</t>
        </is>
      </c>
      <c r="B98" s="204" t="n">
        <v>138</v>
      </c>
      <c r="C98" s="204" t="n">
        <v>133</v>
      </c>
      <c r="D98" s="202" t="inlineStr">
        <is>
          <t>HERRERO</t>
        </is>
      </c>
      <c r="E98" s="202" t="inlineStr">
        <is>
          <t>herrero</t>
        </is>
      </c>
      <c r="F98" s="202" t="inlineStr">
        <is>
          <t>herrero_herrero_hierro_pintado_estructura_metalica_perfil_pequena_tipo_estanteria_grande</t>
        </is>
      </c>
      <c r="G98" s="202" t="inlineStr">
        <is>
          <t>Herrero</t>
        </is>
      </c>
      <c r="H98" s="202" t="inlineStr">
        <is>
          <t>Herrero</t>
        </is>
      </c>
      <c r="I98" s="202" t="inlineStr">
        <is>
          <t>Hierro pintado</t>
        </is>
      </c>
      <c r="J98" s="202" t="inlineStr">
        <is>
          <t>Estructura Metalica (Perfil) pequeña tipo estanteria grande</t>
        </is>
      </c>
      <c r="K98" s="202" t="inlineStr">
        <is>
          <t>*New</t>
        </is>
      </c>
      <c r="L98" s="202" t="n"/>
      <c r="M98" s="202" t="n"/>
      <c r="N98" s="202" t="n"/>
      <c r="O98" s="202" t="n"/>
      <c r="P98" s="202" t="inlineStr">
        <is>
          <t>UDS</t>
        </is>
      </c>
      <c r="Q98" s="205" t="inlineStr">
        <is>
          <t>€/Uni</t>
        </is>
      </c>
      <c r="R98" s="205" t="n">
        <v>1870</v>
      </c>
      <c r="S98" s="205" t="n">
        <v>1870</v>
      </c>
      <c r="T98" s="202" t="n"/>
      <c r="U98" s="202" t="n"/>
      <c r="V98" s="202" t="n">
        <v>0</v>
      </c>
      <c r="W98" s="205" t="n">
        <v>0</v>
      </c>
      <c r="X98" s="205">
        <f>IFERROR(ROUNDUP((Q138/J138)/0.5,0)*0.5,0)</f>
        <v/>
      </c>
      <c r="Y98" s="205" t="n">
        <v>0</v>
      </c>
      <c r="Z98" s="205">
        <f>IF(I138=0,J138*K138,I138*J138*K138)</f>
        <v/>
      </c>
      <c r="AA98" s="205" t="n">
        <v>1</v>
      </c>
      <c r="AB98" s="205">
        <f>$N$111</f>
        <v/>
      </c>
      <c r="AC98" s="205" t="n">
        <v>0</v>
      </c>
      <c r="AD98" s="205">
        <f>SUM(M138*N138)+M138</f>
        <v/>
      </c>
    </row>
    <row r="99">
      <c r="A99" s="202" t="inlineStr">
        <is>
          <t>PRESUPUESTO</t>
        </is>
      </c>
      <c r="B99" s="204" t="n">
        <v>139</v>
      </c>
      <c r="C99" s="204" t="n">
        <v>133</v>
      </c>
      <c r="D99" s="202" t="inlineStr">
        <is>
          <t>HERRERO</t>
        </is>
      </c>
      <c r="E99" s="202" t="inlineStr">
        <is>
          <t>herrero</t>
        </is>
      </c>
      <c r="F99" s="202" t="inlineStr">
        <is>
          <t>herrero_herrero_hierro_pintado_estructura_metalica_chapa_laser_soldada_pequena_tipo_estructura_compleja_grande</t>
        </is>
      </c>
      <c r="G99" s="202" t="inlineStr">
        <is>
          <t>Herrero</t>
        </is>
      </c>
      <c r="H99" s="202" t="inlineStr">
        <is>
          <t>Herrero</t>
        </is>
      </c>
      <c r="I99" s="202" t="inlineStr">
        <is>
          <t>Hierro pintado</t>
        </is>
      </c>
      <c r="J99" s="202" t="inlineStr">
        <is>
          <t xml:space="preserve">Estructura Metalica (Chapa laser Soldada)  pequeña tipo estructura compleja grande </t>
        </is>
      </c>
      <c r="K99" s="202" t="inlineStr">
        <is>
          <t>*New</t>
        </is>
      </c>
      <c r="L99" s="202" t="n"/>
      <c r="M99" s="202" t="n"/>
      <c r="N99" s="202" t="n"/>
      <c r="O99" s="202" t="n"/>
      <c r="P99" s="202" t="inlineStr">
        <is>
          <t>UDS</t>
        </is>
      </c>
      <c r="Q99" s="205" t="inlineStr">
        <is>
          <t>€/Uni</t>
        </is>
      </c>
      <c r="R99" s="205" t="n">
        <v>3130</v>
      </c>
      <c r="S99" s="205" t="n">
        <v>3130</v>
      </c>
      <c r="T99" s="202" t="n"/>
      <c r="U99" s="202" t="n"/>
      <c r="V99" s="202" t="n">
        <v>0</v>
      </c>
      <c r="W99" s="205" t="n">
        <v>0</v>
      </c>
      <c r="X99" s="205">
        <f>IFERROR(ROUNDUP((Q139/J139)/0.5,0)*0.5,0)</f>
        <v/>
      </c>
      <c r="Y99" s="205" t="n">
        <v>0</v>
      </c>
      <c r="Z99" s="205">
        <f>IF(I139=0,J139*K139,I139*J139*K139)</f>
        <v/>
      </c>
      <c r="AA99" s="205" t="n">
        <v>1</v>
      </c>
      <c r="AB99" s="205">
        <f>$N$111</f>
        <v/>
      </c>
      <c r="AC99" s="205" t="n">
        <v>0</v>
      </c>
      <c r="AD99" s="205">
        <f>SUM(M139*N139)+M139</f>
        <v/>
      </c>
    </row>
    <row r="100">
      <c r="A100" s="202" t="inlineStr">
        <is>
          <t>PRESUPUESTO</t>
        </is>
      </c>
      <c r="B100" s="204" t="n">
        <v>140</v>
      </c>
      <c r="C100" s="204" t="n">
        <v>133</v>
      </c>
      <c r="D100" s="202" t="inlineStr">
        <is>
          <t>HERRERO</t>
        </is>
      </c>
      <c r="E100" s="202" t="inlineStr">
        <is>
          <t>herrero</t>
        </is>
      </c>
      <c r="F100" s="202" t="inlineStr">
        <is>
          <t>herrero_herrero_hierro_pintado_estructura_metalica_chapa_laser_soldada_pequena_tipo_estructura_compleja_muy_grande</t>
        </is>
      </c>
      <c r="G100" s="202" t="inlineStr">
        <is>
          <t>Herrero</t>
        </is>
      </c>
      <c r="H100" s="202" t="inlineStr">
        <is>
          <t>Herrero</t>
        </is>
      </c>
      <c r="I100" s="202" t="inlineStr">
        <is>
          <t>Hierro pintado</t>
        </is>
      </c>
      <c r="J100" s="202" t="inlineStr">
        <is>
          <t xml:space="preserve">Estructura Metalica (Chapa laser Soldada) pequeña tipo estructura compleja muy grande </t>
        </is>
      </c>
      <c r="K100" s="202" t="inlineStr">
        <is>
          <t>*New</t>
        </is>
      </c>
      <c r="L100" s="202" t="n"/>
      <c r="M100" s="202" t="n"/>
      <c r="N100" s="202" t="n"/>
      <c r="O100" s="202" t="n"/>
      <c r="P100" s="202" t="inlineStr">
        <is>
          <t>UDS</t>
        </is>
      </c>
      <c r="Q100" s="205" t="inlineStr">
        <is>
          <t>€/Uni</t>
        </is>
      </c>
      <c r="R100" s="205" t="n">
        <v>3680</v>
      </c>
      <c r="S100" s="205" t="n">
        <v>3680</v>
      </c>
      <c r="T100" s="202" t="n"/>
      <c r="U100" s="202" t="n"/>
      <c r="V100" s="202" t="n">
        <v>0</v>
      </c>
      <c r="W100" s="205" t="n">
        <v>0</v>
      </c>
      <c r="X100" s="205">
        <f>IFERROR(ROUNDUP((Q140/J140)/0.5,0)*0.5,0)</f>
        <v/>
      </c>
      <c r="Y100" s="205" t="n">
        <v>0</v>
      </c>
      <c r="Z100" s="205">
        <f>IF(I140=0,J140*K140,I140*J140*K140)</f>
        <v/>
      </c>
      <c r="AA100" s="205" t="n">
        <v>1</v>
      </c>
      <c r="AB100" s="205">
        <f>$N$111</f>
        <v/>
      </c>
      <c r="AC100" s="205" t="n">
        <v>0</v>
      </c>
      <c r="AD100" s="205">
        <f>SUM(M140*N140)+M140</f>
        <v/>
      </c>
    </row>
    <row r="101">
      <c r="A101" s="202" t="inlineStr">
        <is>
          <t>PRESUPUESTO</t>
        </is>
      </c>
      <c r="B101" s="204" t="n">
        <v>142</v>
      </c>
      <c r="C101" s="204" t="n">
        <v>141</v>
      </c>
      <c r="D101" s="202" t="inlineStr">
        <is>
          <t>LACADOR</t>
        </is>
      </c>
      <c r="E101" s="202" t="inlineStr">
        <is>
          <t>pintura</t>
        </is>
      </c>
      <c r="F101" s="202" t="inlineStr">
        <is>
          <t>pintura_lacador_blanco_negro_mueble_montado</t>
        </is>
      </c>
      <c r="G101" s="202" t="inlineStr">
        <is>
          <t xml:space="preserve">Pintura </t>
        </is>
      </c>
      <c r="H101" s="202" t="inlineStr">
        <is>
          <t>Lacador</t>
        </is>
      </c>
      <c r="I101" s="202" t="inlineStr">
        <is>
          <t>Blanco Negro</t>
        </is>
      </c>
      <c r="J101" s="202" t="inlineStr">
        <is>
          <t xml:space="preserve">Mueble montado </t>
        </is>
      </c>
      <c r="K101" s="202" t="inlineStr">
        <is>
          <t>*New</t>
        </is>
      </c>
      <c r="L101" s="202" t="inlineStr">
        <is>
          <t>Ancho</t>
        </is>
      </c>
      <c r="M101" s="202" t="inlineStr">
        <is>
          <t>Fondo</t>
        </is>
      </c>
      <c r="N101" s="202" t="inlineStr">
        <is>
          <t>Alto</t>
        </is>
      </c>
      <c r="O101" s="202" t="inlineStr">
        <is>
          <t>m3</t>
        </is>
      </c>
      <c r="P101" s="202" t="inlineStr">
        <is>
          <t>UDS</t>
        </is>
      </c>
      <c r="Q101" s="205" t="inlineStr">
        <is>
          <t>€/m3</t>
        </is>
      </c>
      <c r="R101" s="205" t="n">
        <v>540</v>
      </c>
      <c r="S101" s="205" t="n">
        <v>540</v>
      </c>
      <c r="T101" s="202" t="n">
        <v>0</v>
      </c>
      <c r="U101" s="202">
        <f>F142*G142*H142</f>
        <v/>
      </c>
      <c r="V101" s="202" t="n">
        <v>0</v>
      </c>
      <c r="W101" s="205" t="n">
        <v>0</v>
      </c>
      <c r="X101" s="205">
        <f>IFERROR(ROUNDUP((Q142/I142)/0.5,0)*0.5,0)</f>
        <v/>
      </c>
      <c r="Y101" s="205" t="n">
        <v>0</v>
      </c>
      <c r="Z101" s="205">
        <f>IF(I142=0,J142*K142,I142*J142*K142)</f>
        <v/>
      </c>
      <c r="AA101" s="205" t="n">
        <v>1</v>
      </c>
      <c r="AB101" s="205">
        <f>$N$111</f>
        <v/>
      </c>
      <c r="AC101" s="205" t="n">
        <v>0</v>
      </c>
      <c r="AD101" s="205">
        <f>SUM(M142*N142)+M142</f>
        <v/>
      </c>
    </row>
    <row r="102">
      <c r="A102" s="202" t="inlineStr">
        <is>
          <t>PRESUPUESTO</t>
        </is>
      </c>
      <c r="B102" s="204" t="n">
        <v>143</v>
      </c>
      <c r="C102" s="204" t="n">
        <v>141</v>
      </c>
      <c r="D102" s="202" t="inlineStr">
        <is>
          <t>LACADOR</t>
        </is>
      </c>
      <c r="E102" s="202" t="inlineStr">
        <is>
          <t>pintura</t>
        </is>
      </c>
      <c r="F102" s="202" t="inlineStr">
        <is>
          <t>pintura_lacador_color_mueble_montado</t>
        </is>
      </c>
      <c r="G102" s="202" t="inlineStr">
        <is>
          <t xml:space="preserve">Pintura </t>
        </is>
      </c>
      <c r="H102" s="202" t="inlineStr">
        <is>
          <t>Lacador</t>
        </is>
      </c>
      <c r="I102" s="202" t="inlineStr">
        <is>
          <t>Color</t>
        </is>
      </c>
      <c r="J102" s="202" t="inlineStr">
        <is>
          <t xml:space="preserve">Mueble montado </t>
        </is>
      </c>
      <c r="K102" s="202" t="inlineStr">
        <is>
          <t>*New</t>
        </is>
      </c>
      <c r="L102" s="202" t="inlineStr">
        <is>
          <t>Ancho</t>
        </is>
      </c>
      <c r="M102" s="202" t="inlineStr">
        <is>
          <t>Fondo</t>
        </is>
      </c>
      <c r="N102" s="202" t="inlineStr">
        <is>
          <t>Alto</t>
        </is>
      </c>
      <c r="O102" s="202" t="inlineStr">
        <is>
          <t>m3</t>
        </is>
      </c>
      <c r="P102" s="202" t="inlineStr">
        <is>
          <t>UDS</t>
        </is>
      </c>
      <c r="Q102" s="205" t="inlineStr">
        <is>
          <t>€/m3</t>
        </is>
      </c>
      <c r="R102" s="205" t="n">
        <v>540</v>
      </c>
      <c r="S102" s="205" t="n">
        <v>540</v>
      </c>
      <c r="T102" s="202" t="n">
        <v>0</v>
      </c>
      <c r="U102" s="202">
        <f>F143*G143*H143</f>
        <v/>
      </c>
      <c r="V102" s="202" t="n">
        <v>0</v>
      </c>
      <c r="W102" s="205" t="n">
        <v>0</v>
      </c>
      <c r="X102" s="205">
        <f>IFERROR(ROUNDUP((Q143/I143)/0.5,0)*0.5,0)</f>
        <v/>
      </c>
      <c r="Y102" s="205" t="n">
        <v>0</v>
      </c>
      <c r="Z102" s="205">
        <f>IF(I143=0,J143*K143,I143*J143*K143)</f>
        <v/>
      </c>
      <c r="AA102" s="205" t="n">
        <v>1</v>
      </c>
      <c r="AB102" s="205">
        <f>$N$111</f>
        <v/>
      </c>
      <c r="AC102" s="205" t="n">
        <v>0</v>
      </c>
      <c r="AD102" s="205">
        <f>SUM(M143*N143)+M143</f>
        <v/>
      </c>
    </row>
    <row r="103">
      <c r="A103" s="202" t="inlineStr">
        <is>
          <t>PRESUPUESTO</t>
        </is>
      </c>
      <c r="B103" s="204" t="n">
        <v>145</v>
      </c>
      <c r="C103" s="204" t="n">
        <v>141</v>
      </c>
      <c r="D103" s="202" t="inlineStr">
        <is>
          <t>LACADOR</t>
        </is>
      </c>
      <c r="E103" s="202" t="inlineStr">
        <is>
          <t>lacador</t>
        </is>
      </c>
      <c r="F103" s="202" t="inlineStr">
        <is>
          <t>container_reciclado_feria</t>
        </is>
      </c>
      <c r="G103" s="202" t="n"/>
      <c r="H103" s="202" t="n"/>
      <c r="I103" s="202" t="n"/>
      <c r="J103" s="202" t="inlineStr">
        <is>
          <t>Container reciclado Feria</t>
        </is>
      </c>
      <c r="K103" s="202" t="inlineStr">
        <is>
          <t>Consultar Precio</t>
        </is>
      </c>
      <c r="L103" s="202" t="inlineStr">
        <is>
          <t>Ancho</t>
        </is>
      </c>
      <c r="M103" s="202" t="inlineStr">
        <is>
          <t>Fondo</t>
        </is>
      </c>
      <c r="N103" s="202" t="inlineStr">
        <is>
          <t>Alto</t>
        </is>
      </c>
      <c r="O103" s="202" t="inlineStr">
        <is>
          <t>m3</t>
        </is>
      </c>
      <c r="P103" s="202" t="inlineStr">
        <is>
          <t>UDS</t>
        </is>
      </c>
      <c r="Q103" s="205" t="inlineStr">
        <is>
          <t>€/m3</t>
        </is>
      </c>
      <c r="R103" s="205" t="n"/>
      <c r="S103" s="205" t="n"/>
      <c r="T103" s="202" t="n"/>
      <c r="U103" s="202" t="n"/>
      <c r="V103" s="202" t="n">
        <v>0</v>
      </c>
      <c r="W103" s="205" t="e">
        <v>#DIV/0!</v>
      </c>
      <c r="X103" s="205">
        <f>ROUNDUP((Q145/I145)/0.5,0)*0.5</f>
        <v/>
      </c>
      <c r="Y103" s="205" t="n">
        <v>0</v>
      </c>
      <c r="Z103" s="205">
        <f>+J145*K145</f>
        <v/>
      </c>
      <c r="AA103" s="205" t="n">
        <v>1</v>
      </c>
      <c r="AB103" s="205">
        <f>$N$146</f>
        <v/>
      </c>
      <c r="AC103" s="205" t="n">
        <v>0</v>
      </c>
      <c r="AD103" s="205">
        <f>SUM(M145*N145)+M145</f>
        <v/>
      </c>
    </row>
    <row r="104">
      <c r="A104" s="202" t="inlineStr">
        <is>
          <t>PRESUPUESTO</t>
        </is>
      </c>
      <c r="B104" s="204" t="n">
        <v>147</v>
      </c>
      <c r="C104" s="204" t="n">
        <v>141</v>
      </c>
      <c r="D104" s="202" t="inlineStr">
        <is>
          <t>LACADOR</t>
        </is>
      </c>
      <c r="E104" s="202" t="inlineStr">
        <is>
          <t>lacador</t>
        </is>
      </c>
      <c r="F104" s="202" t="inlineStr">
        <is>
          <t>puntos_rigging</t>
        </is>
      </c>
      <c r="G104" s="202" t="n"/>
      <c r="H104" s="202" t="n"/>
      <c r="I104" s="202" t="n"/>
      <c r="J104" s="202" t="inlineStr">
        <is>
          <t>puntos rigging</t>
        </is>
      </c>
      <c r="K104" s="202" t="inlineStr">
        <is>
          <t>Poner Precios</t>
        </is>
      </c>
      <c r="L104" s="202" t="inlineStr">
        <is>
          <t>Ancho</t>
        </is>
      </c>
      <c r="M104" s="202" t="inlineStr">
        <is>
          <t>Fondo</t>
        </is>
      </c>
      <c r="N104" s="202" t="inlineStr">
        <is>
          <t>Alto</t>
        </is>
      </c>
      <c r="O104" s="202" t="inlineStr">
        <is>
          <t>m3</t>
        </is>
      </c>
      <c r="P104" s="202" t="inlineStr">
        <is>
          <t>UDS</t>
        </is>
      </c>
      <c r="Q104" s="205" t="inlineStr">
        <is>
          <t>€/m3</t>
        </is>
      </c>
      <c r="R104" s="205" t="n">
        <v>0</v>
      </c>
      <c r="S104" s="205" t="n">
        <v>0</v>
      </c>
      <c r="T104" s="202" t="n"/>
      <c r="U104" s="202" t="n"/>
      <c r="V104" s="202" t="n">
        <v>0</v>
      </c>
      <c r="W104" s="205" t="e">
        <v>#DIV/0!</v>
      </c>
      <c r="X104" s="205">
        <f>ROUNDUP((Q147/I147)/0.5,0)*0.5</f>
        <v/>
      </c>
      <c r="Y104" s="205" t="n">
        <v>0</v>
      </c>
      <c r="Z104" s="205">
        <f>+J147*K147</f>
        <v/>
      </c>
      <c r="AA104" s="205" t="n">
        <v>1</v>
      </c>
      <c r="AB104" s="205">
        <f>$N$151</f>
        <v/>
      </c>
      <c r="AC104" s="205" t="n">
        <v>0</v>
      </c>
      <c r="AD104" s="205">
        <f>SUM(M147*N147)+M147</f>
        <v/>
      </c>
    </row>
    <row r="105">
      <c r="A105" s="202" t="inlineStr">
        <is>
          <t>PRESUPUESTO</t>
        </is>
      </c>
      <c r="B105" s="204" t="n">
        <v>148</v>
      </c>
      <c r="C105" s="204" t="n">
        <v>141</v>
      </c>
      <c r="D105" s="202" t="inlineStr">
        <is>
          <t>LACADOR</t>
        </is>
      </c>
      <c r="E105" s="202" t="inlineStr">
        <is>
          <t>lacador</t>
        </is>
      </c>
      <c r="F105" s="202" t="inlineStr">
        <is>
          <t>personal_mantenimiento</t>
        </is>
      </c>
      <c r="G105" s="202" t="n"/>
      <c r="H105" s="202" t="n"/>
      <c r="I105" s="202" t="n"/>
      <c r="J105" s="202" t="inlineStr">
        <is>
          <t>Personal Mantenimiento</t>
        </is>
      </c>
      <c r="K105" s="202" t="inlineStr">
        <is>
          <t>Poner Precios</t>
        </is>
      </c>
      <c r="L105" s="202" t="inlineStr">
        <is>
          <t>Ancho</t>
        </is>
      </c>
      <c r="M105" s="202" t="inlineStr">
        <is>
          <t>Fondo</t>
        </is>
      </c>
      <c r="N105" s="202" t="inlineStr">
        <is>
          <t>Alto</t>
        </is>
      </c>
      <c r="O105" s="202" t="inlineStr">
        <is>
          <t>m3</t>
        </is>
      </c>
      <c r="P105" s="202" t="inlineStr">
        <is>
          <t>UDS</t>
        </is>
      </c>
      <c r="Q105" s="205" t="inlineStr">
        <is>
          <t>€/m3</t>
        </is>
      </c>
      <c r="R105" s="205" t="n">
        <v>0</v>
      </c>
      <c r="S105" s="205" t="n">
        <v>0</v>
      </c>
      <c r="T105" s="202" t="n"/>
      <c r="U105" s="202" t="n"/>
      <c r="V105" s="202" t="n">
        <v>0</v>
      </c>
      <c r="W105" s="205" t="e">
        <v>#DIV/0!</v>
      </c>
      <c r="X105" s="205">
        <f>ROUNDUP((Q148/I148)/0.5,0)*0.5</f>
        <v/>
      </c>
      <c r="Y105" s="205" t="n">
        <v>0</v>
      </c>
      <c r="Z105" s="205">
        <f>+J148*K148</f>
        <v/>
      </c>
      <c r="AA105" s="205" t="n">
        <v>1</v>
      </c>
      <c r="AB105" s="205">
        <f>$N$151</f>
        <v/>
      </c>
      <c r="AC105" s="205" t="n">
        <v>0</v>
      </c>
      <c r="AD105" s="205">
        <f>SUM(M148*N148)+M148</f>
        <v/>
      </c>
    </row>
    <row r="106">
      <c r="A106" s="202" t="inlineStr">
        <is>
          <t>PRESUPUESTO</t>
        </is>
      </c>
      <c r="B106" s="204" t="n">
        <v>149</v>
      </c>
      <c r="C106" s="204" t="n">
        <v>141</v>
      </c>
      <c r="D106" s="202" t="inlineStr">
        <is>
          <t>LACADOR</t>
        </is>
      </c>
      <c r="E106" s="202" t="inlineStr">
        <is>
          <t>lacador</t>
        </is>
      </c>
      <c r="F106" s="202" t="inlineStr">
        <is>
          <t>transporte_camion</t>
        </is>
      </c>
      <c r="G106" s="202" t="n"/>
      <c r="H106" s="202" t="n"/>
      <c r="I106" s="202" t="n"/>
      <c r="J106" s="202" t="inlineStr">
        <is>
          <t>Transporte /camión</t>
        </is>
      </c>
      <c r="K106" s="202" t="inlineStr">
        <is>
          <t>Poner Precios</t>
        </is>
      </c>
      <c r="L106" s="202" t="inlineStr">
        <is>
          <t>Ancho</t>
        </is>
      </c>
      <c r="M106" s="202" t="inlineStr">
        <is>
          <t>Fondo</t>
        </is>
      </c>
      <c r="N106" s="202" t="inlineStr">
        <is>
          <t>Alto</t>
        </is>
      </c>
      <c r="O106" s="202" t="inlineStr">
        <is>
          <t>m3</t>
        </is>
      </c>
      <c r="P106" s="202" t="inlineStr">
        <is>
          <t>UDS</t>
        </is>
      </c>
      <c r="Q106" s="205" t="inlineStr">
        <is>
          <t>€/m3</t>
        </is>
      </c>
      <c r="R106" s="205" t="n">
        <v>0</v>
      </c>
      <c r="S106" s="205" t="n">
        <v>0</v>
      </c>
      <c r="T106" s="202" t="n"/>
      <c r="U106" s="202" t="n"/>
      <c r="V106" s="202" t="n">
        <v>0</v>
      </c>
      <c r="W106" s="205" t="e">
        <v>#DIV/0!</v>
      </c>
      <c r="X106" s="205">
        <f>ROUNDUP((Q149/I149)/0.5,0)*0.5</f>
        <v/>
      </c>
      <c r="Y106" s="205" t="n">
        <v>0</v>
      </c>
      <c r="Z106" s="205">
        <f>+J149*K149</f>
        <v/>
      </c>
      <c r="AA106" s="205" t="n">
        <v>1</v>
      </c>
      <c r="AB106" s="205">
        <f>$N$151</f>
        <v/>
      </c>
      <c r="AC106" s="205" t="n">
        <v>0</v>
      </c>
      <c r="AD106" s="205">
        <f>SUM(M149*N149)+M149</f>
        <v/>
      </c>
    </row>
    <row r="107">
      <c r="A107" s="202" t="inlineStr">
        <is>
          <t>PRESUPUESTO</t>
        </is>
      </c>
      <c r="B107" s="204" t="n">
        <v>150</v>
      </c>
      <c r="C107" s="204" t="n">
        <v>141</v>
      </c>
      <c r="D107" s="202" t="inlineStr">
        <is>
          <t>LACADOR</t>
        </is>
      </c>
      <c r="E107" s="202" t="inlineStr">
        <is>
          <t>lacador</t>
        </is>
      </c>
      <c r="F107" s="202" t="inlineStr">
        <is>
          <t>toros</t>
        </is>
      </c>
      <c r="G107" s="202" t="n"/>
      <c r="H107" s="202" t="n"/>
      <c r="I107" s="202" t="n"/>
      <c r="J107" s="202" t="inlineStr">
        <is>
          <t>Toros</t>
        </is>
      </c>
      <c r="K107" s="202" t="inlineStr">
        <is>
          <t>Poner Precios</t>
        </is>
      </c>
      <c r="L107" s="202" t="inlineStr">
        <is>
          <t>Ancho</t>
        </is>
      </c>
      <c r="M107" s="202" t="inlineStr">
        <is>
          <t>Fondo</t>
        </is>
      </c>
      <c r="N107" s="202" t="inlineStr">
        <is>
          <t>Alto</t>
        </is>
      </c>
      <c r="O107" s="202" t="inlineStr">
        <is>
          <t>m3</t>
        </is>
      </c>
      <c r="P107" s="202" t="inlineStr">
        <is>
          <t>UDS</t>
        </is>
      </c>
      <c r="Q107" s="205" t="inlineStr">
        <is>
          <t>€/m3</t>
        </is>
      </c>
      <c r="R107" s="205" t="n">
        <v>0</v>
      </c>
      <c r="S107" s="205" t="n">
        <v>0</v>
      </c>
      <c r="T107" s="202" t="n"/>
      <c r="U107" s="202" t="n"/>
      <c r="V107" s="202" t="n">
        <v>0</v>
      </c>
      <c r="W107" s="205" t="e">
        <v>#DIV/0!</v>
      </c>
      <c r="X107" s="205">
        <f>ROUNDUP((Q150/I150)/0.5,0)*0.5</f>
        <v/>
      </c>
      <c r="Y107" s="205" t="n">
        <v>0</v>
      </c>
      <c r="Z107" s="205">
        <f>+J150*K150</f>
        <v/>
      </c>
      <c r="AA107" s="205" t="n">
        <v>1</v>
      </c>
      <c r="AB107" s="205">
        <f>$N$151</f>
        <v/>
      </c>
      <c r="AC107" s="205" t="n">
        <v>0</v>
      </c>
      <c r="AD107" s="205">
        <f>SUM(M150*N150)+M150</f>
        <v/>
      </c>
    </row>
    <row r="108">
      <c r="A108" s="202" t="inlineStr">
        <is>
          <t>PRESUPUESTO</t>
        </is>
      </c>
      <c r="B108" s="204" t="n">
        <v>153</v>
      </c>
      <c r="C108" s="204" t="n">
        <v>152</v>
      </c>
      <c r="D108" s="202" t="inlineStr">
        <is>
          <t>LOGISTICA</t>
        </is>
      </c>
      <c r="E108" s="202" t="inlineStr">
        <is>
          <t>log_y_per</t>
        </is>
      </c>
      <c r="F108" s="202" t="inlineStr">
        <is>
          <t>log_y_per_transporte_trailer_bcn</t>
        </is>
      </c>
      <c r="G108" s="202" t="inlineStr">
        <is>
          <t>Log. y Per.</t>
        </is>
      </c>
      <c r="H108" s="202" t="inlineStr">
        <is>
          <t>Transporte</t>
        </is>
      </c>
      <c r="I108" s="202" t="n"/>
      <c r="J108" s="202" t="inlineStr">
        <is>
          <t>Trailer BCN</t>
        </is>
      </c>
      <c r="K108" s="202" t="n"/>
      <c r="L108" s="202" t="inlineStr">
        <is>
          <t>Km</t>
        </is>
      </c>
      <c r="M108" s="202" t="inlineStr">
        <is>
          <t>Personas</t>
        </is>
      </c>
      <c r="N108" s="202" t="n"/>
      <c r="O108" s="202" t="n"/>
      <c r="P108" s="202" t="inlineStr">
        <is>
          <t>Viaje</t>
        </is>
      </c>
      <c r="Q108" s="205" t="inlineStr">
        <is>
          <t>€/Viaje</t>
        </is>
      </c>
      <c r="R108" s="205" t="n">
        <v>450</v>
      </c>
      <c r="S108" s="205" t="n">
        <v>450</v>
      </c>
      <c r="T108" s="202" t="n"/>
      <c r="U108" s="202" t="n"/>
      <c r="V108" s="202" t="n">
        <v>0</v>
      </c>
      <c r="W108" s="205" t="n">
        <v>0</v>
      </c>
      <c r="X108" s="205">
        <f>IFERROR(ROUNDUP((Q153/J153)/0.5,0)*0.5,0)</f>
        <v/>
      </c>
      <c r="Y108" s="205" t="n">
        <v>0</v>
      </c>
      <c r="Z108" s="205">
        <f>IF(I153=0,J153*K153,I153*J153*K153)</f>
        <v/>
      </c>
      <c r="AA108" s="205" t="n">
        <v>1</v>
      </c>
      <c r="AB108" s="205">
        <f>$N$169</f>
        <v/>
      </c>
      <c r="AC108" s="205" t="n">
        <v>0</v>
      </c>
      <c r="AD108" s="205">
        <f>SUM(M153*N153)+M153</f>
        <v/>
      </c>
    </row>
    <row r="109">
      <c r="A109" s="202" t="inlineStr">
        <is>
          <t>PRESUPUESTO</t>
        </is>
      </c>
      <c r="B109" s="204" t="n">
        <v>154</v>
      </c>
      <c r="C109" s="204" t="n">
        <v>152</v>
      </c>
      <c r="D109" s="202" t="inlineStr">
        <is>
          <t>LOGISTICA</t>
        </is>
      </c>
      <c r="E109" s="202" t="inlineStr">
        <is>
          <t>log_y_per</t>
        </is>
      </c>
      <c r="F109" s="202" t="inlineStr">
        <is>
          <t>log_y_per_transporte_1_2_trailer_bcn</t>
        </is>
      </c>
      <c r="G109" s="202" t="inlineStr">
        <is>
          <t>Log. y Per.</t>
        </is>
      </c>
      <c r="H109" s="202" t="inlineStr">
        <is>
          <t>Transporte</t>
        </is>
      </c>
      <c r="I109" s="202" t="n"/>
      <c r="J109" s="202" t="inlineStr">
        <is>
          <t>1/2 Trailer BCN</t>
        </is>
      </c>
      <c r="K109" s="202" t="n"/>
      <c r="L109" s="202" t="inlineStr">
        <is>
          <t>Km</t>
        </is>
      </c>
      <c r="M109" s="202" t="inlineStr">
        <is>
          <t>Personas</t>
        </is>
      </c>
      <c r="N109" s="202" t="n"/>
      <c r="O109" s="202" t="n"/>
      <c r="P109" s="202" t="inlineStr">
        <is>
          <t>Viaje</t>
        </is>
      </c>
      <c r="Q109" s="205" t="inlineStr">
        <is>
          <t>€/Viaje</t>
        </is>
      </c>
      <c r="R109" s="205" t="n">
        <v>400</v>
      </c>
      <c r="S109" s="205" t="n">
        <v>400</v>
      </c>
      <c r="T109" s="202" t="n"/>
      <c r="U109" s="202" t="n"/>
      <c r="V109" s="202" t="n">
        <v>0</v>
      </c>
      <c r="W109" s="205" t="n">
        <v>0</v>
      </c>
      <c r="X109" s="205">
        <f>IFERROR(ROUNDUP((Q154/J154)/0.5,0)*0.5,0)</f>
        <v/>
      </c>
      <c r="Y109" s="205" t="n">
        <v>0</v>
      </c>
      <c r="Z109" s="205">
        <f>IF(I154=0,J154*K154,I154*J154*K154)</f>
        <v/>
      </c>
      <c r="AA109" s="205" t="n">
        <v>1</v>
      </c>
      <c r="AB109" s="205">
        <f>$N$169</f>
        <v/>
      </c>
      <c r="AC109" s="205" t="n">
        <v>0</v>
      </c>
      <c r="AD109" s="205">
        <f>SUM(M154*N154)+M154</f>
        <v/>
      </c>
    </row>
    <row r="110">
      <c r="A110" s="202" t="inlineStr">
        <is>
          <t>PRESUPUESTO</t>
        </is>
      </c>
      <c r="B110" s="204" t="n">
        <v>155</v>
      </c>
      <c r="C110" s="204" t="n">
        <v>152</v>
      </c>
      <c r="D110" s="202" t="inlineStr">
        <is>
          <t>LOGISTICA</t>
        </is>
      </c>
      <c r="E110" s="202" t="inlineStr">
        <is>
          <t>log_y_per</t>
        </is>
      </c>
      <c r="F110" s="202" t="inlineStr">
        <is>
          <t>log_y_per_transporte_trailer_madrid</t>
        </is>
      </c>
      <c r="G110" s="202" t="inlineStr">
        <is>
          <t>Log. y Per.</t>
        </is>
      </c>
      <c r="H110" s="202" t="inlineStr">
        <is>
          <t>Transporte</t>
        </is>
      </c>
      <c r="I110" s="202" t="n"/>
      <c r="J110" s="202" t="inlineStr">
        <is>
          <t>Trailer Madrid</t>
        </is>
      </c>
      <c r="K110" s="202" t="n"/>
      <c r="L110" s="202" t="inlineStr">
        <is>
          <t>Km</t>
        </is>
      </c>
      <c r="M110" s="202" t="inlineStr">
        <is>
          <t>Personas</t>
        </is>
      </c>
      <c r="N110" s="202" t="n"/>
      <c r="O110" s="202" t="n"/>
      <c r="P110" s="202" t="inlineStr">
        <is>
          <t>Viaje</t>
        </is>
      </c>
      <c r="Q110" s="205" t="inlineStr">
        <is>
          <t>€/Viaje</t>
        </is>
      </c>
      <c r="R110" s="205" t="n">
        <v>750</v>
      </c>
      <c r="S110" s="205" t="n">
        <v>750</v>
      </c>
      <c r="T110" s="202" t="n"/>
      <c r="U110" s="202" t="n"/>
      <c r="V110" s="202" t="n">
        <v>0</v>
      </c>
      <c r="W110" s="205" t="n">
        <v>0</v>
      </c>
      <c r="X110" s="205">
        <f>IFERROR(ROUNDUP((Q155/J155)/0.5,0)*0.5,0)</f>
        <v/>
      </c>
      <c r="Y110" s="205" t="n">
        <v>0</v>
      </c>
      <c r="Z110" s="205">
        <f>IF(I155=0,J155*K155,I155*J155*K155)</f>
        <v/>
      </c>
      <c r="AA110" s="205" t="n">
        <v>1</v>
      </c>
      <c r="AB110" s="205">
        <f>$N$169</f>
        <v/>
      </c>
      <c r="AC110" s="205" t="n">
        <v>0</v>
      </c>
      <c r="AD110" s="205">
        <f>SUM(M155*N155)+M155</f>
        <v/>
      </c>
    </row>
    <row r="111">
      <c r="A111" s="202" t="inlineStr">
        <is>
          <t>PRESUPUESTO</t>
        </is>
      </c>
      <c r="B111" s="204" t="n">
        <v>156</v>
      </c>
      <c r="C111" s="204" t="n">
        <v>152</v>
      </c>
      <c r="D111" s="202" t="inlineStr">
        <is>
          <t>LOGISTICA</t>
        </is>
      </c>
      <c r="E111" s="202" t="inlineStr">
        <is>
          <t>log_y_per</t>
        </is>
      </c>
      <c r="F111" s="202" t="inlineStr">
        <is>
          <t>log_y_per_transporte_1_2_trailer_vigo</t>
        </is>
      </c>
      <c r="G111" s="202" t="inlineStr">
        <is>
          <t>Log. y Per.</t>
        </is>
      </c>
      <c r="H111" s="202" t="inlineStr">
        <is>
          <t>Transporte</t>
        </is>
      </c>
      <c r="I111" s="202" t="n"/>
      <c r="J111" s="202" t="inlineStr">
        <is>
          <t>1/2 Trailer Vigo</t>
        </is>
      </c>
      <c r="K111" s="202" t="n"/>
      <c r="L111" s="202" t="inlineStr">
        <is>
          <t>Km</t>
        </is>
      </c>
      <c r="M111" s="202" t="inlineStr">
        <is>
          <t>Personas</t>
        </is>
      </c>
      <c r="N111" s="202" t="n"/>
      <c r="O111" s="202" t="n"/>
      <c r="P111" s="202" t="inlineStr">
        <is>
          <t>Viaje</t>
        </is>
      </c>
      <c r="Q111" s="205" t="inlineStr">
        <is>
          <t>€/Viaje</t>
        </is>
      </c>
      <c r="R111" s="205" t="n">
        <v>750</v>
      </c>
      <c r="S111" s="205" t="n">
        <v>750</v>
      </c>
      <c r="T111" s="202" t="n"/>
      <c r="U111" s="202" t="n"/>
      <c r="V111" s="202" t="n">
        <v>0</v>
      </c>
      <c r="W111" s="205" t="n">
        <v>0</v>
      </c>
      <c r="X111" s="205">
        <f>IFERROR(ROUNDUP((Q156/J156)/0.5,0)*0.5,0)</f>
        <v/>
      </c>
      <c r="Y111" s="205" t="n">
        <v>0</v>
      </c>
      <c r="Z111" s="205">
        <f>IF(I156=0,J156*K156,I156*J156*K156)</f>
        <v/>
      </c>
      <c r="AA111" s="205" t="n">
        <v>1</v>
      </c>
      <c r="AB111" s="205">
        <f>$N$169</f>
        <v/>
      </c>
      <c r="AC111" s="205" t="n">
        <v>0</v>
      </c>
      <c r="AD111" s="205">
        <f>SUM(M156*N156)+M156</f>
        <v/>
      </c>
    </row>
    <row r="112">
      <c r="A112" s="202" t="inlineStr">
        <is>
          <t>PRESUPUESTO</t>
        </is>
      </c>
      <c r="B112" s="204" t="n">
        <v>157</v>
      </c>
      <c r="C112" s="204" t="n">
        <v>152</v>
      </c>
      <c r="D112" s="202" t="inlineStr">
        <is>
          <t>LOGISTICA</t>
        </is>
      </c>
      <c r="E112" s="202" t="inlineStr">
        <is>
          <t>log_y_per</t>
        </is>
      </c>
      <c r="F112" s="202" t="inlineStr">
        <is>
          <t>log_y_per_transporte_trailer_vigo</t>
        </is>
      </c>
      <c r="G112" s="202" t="inlineStr">
        <is>
          <t>Log. y Per.</t>
        </is>
      </c>
      <c r="H112" s="202" t="inlineStr">
        <is>
          <t>Transporte</t>
        </is>
      </c>
      <c r="I112" s="202" t="n"/>
      <c r="J112" s="202" t="inlineStr">
        <is>
          <t>Trailer Vigo</t>
        </is>
      </c>
      <c r="K112" s="202" t="n"/>
      <c r="L112" s="202" t="inlineStr">
        <is>
          <t>Km</t>
        </is>
      </c>
      <c r="M112" s="202" t="inlineStr">
        <is>
          <t>Personas</t>
        </is>
      </c>
      <c r="N112" s="202" t="n"/>
      <c r="O112" s="202" t="n"/>
      <c r="P112" s="202" t="inlineStr">
        <is>
          <t>Viaje</t>
        </is>
      </c>
      <c r="Q112" s="205" t="inlineStr">
        <is>
          <t>€/Viaje</t>
        </is>
      </c>
      <c r="R112" s="205" t="n">
        <v>750</v>
      </c>
      <c r="S112" s="205" t="n">
        <v>750</v>
      </c>
      <c r="T112" s="202" t="n"/>
      <c r="U112" s="202" t="n"/>
      <c r="V112" s="202" t="n">
        <v>0</v>
      </c>
      <c r="W112" s="205" t="n">
        <v>0</v>
      </c>
      <c r="X112" s="205">
        <f>IFERROR(ROUNDUP((Q157/J157)/0.5,0)*0.5,0)</f>
        <v/>
      </c>
      <c r="Y112" s="205" t="n">
        <v>0</v>
      </c>
      <c r="Z112" s="205">
        <f>IF(I157=0,J157*K157,I157*J157*K157)</f>
        <v/>
      </c>
      <c r="AA112" s="205" t="n">
        <v>1</v>
      </c>
      <c r="AB112" s="205">
        <f>$N$169</f>
        <v/>
      </c>
      <c r="AC112" s="205" t="n">
        <v>0</v>
      </c>
      <c r="AD112" s="205">
        <f>SUM(M157*N157)+M157</f>
        <v/>
      </c>
    </row>
    <row r="113">
      <c r="A113" s="202" t="inlineStr">
        <is>
          <t>PRESUPUESTO</t>
        </is>
      </c>
      <c r="B113" s="204" t="n">
        <v>158</v>
      </c>
      <c r="C113" s="204" t="n">
        <v>152</v>
      </c>
      <c r="D113" s="202" t="inlineStr">
        <is>
          <t>LOGISTICA</t>
        </is>
      </c>
      <c r="E113" s="202" t="inlineStr">
        <is>
          <t>log_y_per</t>
        </is>
      </c>
      <c r="F113" s="202" t="inlineStr">
        <is>
          <t>log_y_per_transporte_trailer_londres</t>
        </is>
      </c>
      <c r="G113" s="202" t="inlineStr">
        <is>
          <t>Log. y Per.</t>
        </is>
      </c>
      <c r="H113" s="202" t="inlineStr">
        <is>
          <t>Transporte</t>
        </is>
      </c>
      <c r="I113" s="202" t="n"/>
      <c r="J113" s="202" t="inlineStr">
        <is>
          <t>Trailer Londres</t>
        </is>
      </c>
      <c r="K113" s="202" t="n"/>
      <c r="L113" s="202" t="inlineStr">
        <is>
          <t>Km</t>
        </is>
      </c>
      <c r="M113" s="202" t="inlineStr">
        <is>
          <t>Personas</t>
        </is>
      </c>
      <c r="N113" s="202" t="n"/>
      <c r="O113" s="202" t="n"/>
      <c r="P113" s="202" t="inlineStr">
        <is>
          <t>Viaje</t>
        </is>
      </c>
      <c r="Q113" s="205" t="inlineStr">
        <is>
          <t>€/Viaje</t>
        </is>
      </c>
      <c r="R113" s="205" t="n">
        <v>750</v>
      </c>
      <c r="S113" s="205" t="n">
        <v>750</v>
      </c>
      <c r="T113" s="202" t="n"/>
      <c r="U113" s="202" t="n"/>
      <c r="V113" s="202" t="n">
        <v>0</v>
      </c>
      <c r="W113" s="205" t="n">
        <v>0</v>
      </c>
      <c r="X113" s="205">
        <f>IFERROR(ROUNDUP((Q158/J158)/0.5,0)*0.5,0)</f>
        <v/>
      </c>
      <c r="Y113" s="205" t="n">
        <v>0</v>
      </c>
      <c r="Z113" s="205">
        <f>IF(I158=0,J158*K158,I158*J158*K158)</f>
        <v/>
      </c>
      <c r="AA113" s="205" t="n">
        <v>1</v>
      </c>
      <c r="AB113" s="205">
        <f>$N$169</f>
        <v/>
      </c>
      <c r="AC113" s="205" t="n">
        <v>0</v>
      </c>
      <c r="AD113" s="205">
        <f>SUM(M158*N158)+M158</f>
        <v/>
      </c>
    </row>
    <row r="114">
      <c r="A114" s="202" t="inlineStr">
        <is>
          <t>PRESUPUESTO</t>
        </is>
      </c>
      <c r="B114" s="204" t="n">
        <v>159</v>
      </c>
      <c r="C114" s="204" t="n">
        <v>152</v>
      </c>
      <c r="D114" s="202" t="inlineStr">
        <is>
          <t>LOGISTICA</t>
        </is>
      </c>
      <c r="E114" s="202" t="inlineStr">
        <is>
          <t>log_y_per</t>
        </is>
      </c>
      <c r="F114" s="202" t="inlineStr">
        <is>
          <t>log_y_per_transporte_furgoneta_eswood_2_personas</t>
        </is>
      </c>
      <c r="G114" s="202" t="inlineStr">
        <is>
          <t>Log. y Per.</t>
        </is>
      </c>
      <c r="H114" s="202" t="inlineStr">
        <is>
          <t>Transporte</t>
        </is>
      </c>
      <c r="I114" s="202" t="n"/>
      <c r="J114" s="202" t="inlineStr">
        <is>
          <t>Furgoneta ESWood (2 personas)</t>
        </is>
      </c>
      <c r="K114" s="202" t="n"/>
      <c r="L114" s="202" t="inlineStr">
        <is>
          <t>Km</t>
        </is>
      </c>
      <c r="M114" s="202" t="inlineStr">
        <is>
          <t>Personas</t>
        </is>
      </c>
      <c r="N114" s="202" t="n"/>
      <c r="O114" s="202" t="n"/>
      <c r="P114" s="202" t="inlineStr">
        <is>
          <t>Viaje</t>
        </is>
      </c>
      <c r="Q114" s="205" t="inlineStr">
        <is>
          <t>€/Viaje</t>
        </is>
      </c>
      <c r="R114" s="205" t="n">
        <v>150</v>
      </c>
      <c r="S114" s="205" t="n">
        <v>150</v>
      </c>
      <c r="T114" s="202" t="n"/>
      <c r="U114" s="202" t="n"/>
      <c r="V114" s="202" t="n">
        <v>0</v>
      </c>
      <c r="W114" s="205" t="n">
        <v>0</v>
      </c>
      <c r="X114" s="205">
        <f>IFERROR(ROUNDUP((Q159/J159)/0.5,0)*0.5,0)</f>
        <v/>
      </c>
      <c r="Y114" s="205" t="n">
        <v>0</v>
      </c>
      <c r="Z114" s="205">
        <f>IF(I159=0,J159*K159,I159*J159*K159)</f>
        <v/>
      </c>
      <c r="AA114" s="205" t="n">
        <v>1</v>
      </c>
      <c r="AB114" s="205">
        <f>$N$169</f>
        <v/>
      </c>
      <c r="AC114" s="205" t="n">
        <v>0</v>
      </c>
      <c r="AD114" s="205">
        <f>SUM(M159*N159)+M159</f>
        <v/>
      </c>
    </row>
    <row r="115">
      <c r="A115" s="202" t="inlineStr">
        <is>
          <t>PRESUPUESTO</t>
        </is>
      </c>
      <c r="B115" s="204" t="n">
        <v>160</v>
      </c>
      <c r="C115" s="204" t="n">
        <v>152</v>
      </c>
      <c r="D115" s="202" t="inlineStr">
        <is>
          <t>LOGISTICA</t>
        </is>
      </c>
      <c r="E115" s="202" t="inlineStr">
        <is>
          <t>log_y_per</t>
        </is>
      </c>
      <c r="F115" s="202" t="inlineStr">
        <is>
          <t>log_y_per_toro_toro_bcn_1h_con_conductor</t>
        </is>
      </c>
      <c r="G115" s="202" t="inlineStr">
        <is>
          <t>Log. y Per.</t>
        </is>
      </c>
      <c r="H115" s="202" t="inlineStr">
        <is>
          <t>Toro</t>
        </is>
      </c>
      <c r="I115" s="202" t="n"/>
      <c r="J115" s="202" t="inlineStr">
        <is>
          <t>Toro BCN 1h con conductor</t>
        </is>
      </c>
      <c r="K115" s="202" t="n"/>
      <c r="L115" s="202" t="inlineStr">
        <is>
          <t>Km</t>
        </is>
      </c>
      <c r="M115" s="202" t="inlineStr">
        <is>
          <t>Personas</t>
        </is>
      </c>
      <c r="N115" s="202" t="n"/>
      <c r="O115" s="202" t="n"/>
      <c r="P115" s="202" t="inlineStr">
        <is>
          <t>Viaje</t>
        </is>
      </c>
      <c r="Q115" s="205" t="inlineStr">
        <is>
          <t>€/Viaje</t>
        </is>
      </c>
      <c r="R115" s="205" t="n">
        <v>90</v>
      </c>
      <c r="S115" s="205" t="n">
        <v>90</v>
      </c>
      <c r="T115" s="202" t="n"/>
      <c r="U115" s="202" t="n"/>
      <c r="V115" s="202" t="n">
        <v>0</v>
      </c>
      <c r="W115" s="205" t="n">
        <v>0</v>
      </c>
      <c r="X115" s="205">
        <f>IFERROR(ROUNDUP((Q160/J160)/0.5,0)*0.5,0)</f>
        <v/>
      </c>
      <c r="Y115" s="205" t="n">
        <v>0</v>
      </c>
      <c r="Z115" s="205">
        <f>IF(I160=0,J160*K160,I160*J160*K160)</f>
        <v/>
      </c>
      <c r="AA115" s="205" t="n">
        <v>1</v>
      </c>
      <c r="AB115" s="205">
        <f>$N$169</f>
        <v/>
      </c>
      <c r="AC115" s="205" t="n">
        <v>0</v>
      </c>
      <c r="AD115" s="205">
        <f>SUM(M160*N160)+M160</f>
        <v/>
      </c>
    </row>
    <row r="116">
      <c r="A116" s="202" t="inlineStr">
        <is>
          <t>PRESUPUESTO</t>
        </is>
      </c>
      <c r="B116" s="204" t="n">
        <v>161</v>
      </c>
      <c r="C116" s="204" t="n">
        <v>152</v>
      </c>
      <c r="D116" s="202" t="inlineStr">
        <is>
          <t>LOGISTICA</t>
        </is>
      </c>
      <c r="E116" s="202" t="inlineStr">
        <is>
          <t>log_y_per</t>
        </is>
      </c>
      <c r="F116" s="202" t="inlineStr">
        <is>
          <t>log_y_per_toro_toro_bcn_1_dia_sin_conductor</t>
        </is>
      </c>
      <c r="G116" s="202" t="inlineStr">
        <is>
          <t>Log. y Per.</t>
        </is>
      </c>
      <c r="H116" s="202" t="inlineStr">
        <is>
          <t>Toro</t>
        </is>
      </c>
      <c r="I116" s="202" t="n"/>
      <c r="J116" s="202" t="inlineStr">
        <is>
          <t>Toro BCN 1 dia sin conductor</t>
        </is>
      </c>
      <c r="K116" s="202" t="n"/>
      <c r="L116" s="202" t="inlineStr">
        <is>
          <t>Km</t>
        </is>
      </c>
      <c r="M116" s="202" t="inlineStr">
        <is>
          <t>Personas</t>
        </is>
      </c>
      <c r="N116" s="202" t="n"/>
      <c r="O116" s="202" t="n"/>
      <c r="P116" s="202" t="inlineStr">
        <is>
          <t>Viaje</t>
        </is>
      </c>
      <c r="Q116" s="205" t="inlineStr">
        <is>
          <t>€/Viaje</t>
        </is>
      </c>
      <c r="R116" s="205" t="n">
        <v>90</v>
      </c>
      <c r="S116" s="205" t="n">
        <v>90</v>
      </c>
      <c r="T116" s="202" t="n"/>
      <c r="U116" s="202" t="n"/>
      <c r="V116" s="202" t="n">
        <v>0</v>
      </c>
      <c r="W116" s="205" t="n">
        <v>0</v>
      </c>
      <c r="X116" s="205">
        <f>IFERROR(ROUNDUP((Q161/J161)/0.5,0)*0.5,0)</f>
        <v/>
      </c>
      <c r="Y116" s="205" t="n">
        <v>0</v>
      </c>
      <c r="Z116" s="205">
        <f>IF(I161=0,J161*K161,I161*J161*K161)</f>
        <v/>
      </c>
      <c r="AA116" s="205" t="n">
        <v>1</v>
      </c>
      <c r="AB116" s="205">
        <f>$N$169</f>
        <v/>
      </c>
      <c r="AC116" s="205" t="n">
        <v>0</v>
      </c>
      <c r="AD116" s="205">
        <f>SUM(M161*N161)+M161</f>
        <v/>
      </c>
    </row>
    <row r="117">
      <c r="A117" s="202" t="inlineStr">
        <is>
          <t>PRESUPUESTO</t>
        </is>
      </c>
      <c r="B117" s="204" t="n">
        <v>163</v>
      </c>
      <c r="C117" s="204" t="n">
        <v>162</v>
      </c>
      <c r="D117" s="202" t="inlineStr">
        <is>
          <t>PERSONAL</t>
        </is>
      </c>
      <c r="E117" s="202" t="inlineStr">
        <is>
          <t>log_y_per</t>
        </is>
      </c>
      <c r="F117" s="202" t="inlineStr">
        <is>
          <t>log_y_per_personal_persona_montaje_12h_bcn_1_2_dieta</t>
        </is>
      </c>
      <c r="G117" s="202" t="inlineStr">
        <is>
          <t>Log. y Per.</t>
        </is>
      </c>
      <c r="H117" s="202" t="inlineStr">
        <is>
          <t>Personal</t>
        </is>
      </c>
      <c r="I117" s="202" t="n"/>
      <c r="J117" s="202" t="inlineStr">
        <is>
          <t>Persona Montaje  (12h) BCN (1/2 Dieta)</t>
        </is>
      </c>
      <c r="K117" s="202" t="n"/>
      <c r="L117" s="202" t="inlineStr">
        <is>
          <t>Persona</t>
        </is>
      </c>
      <c r="M117" s="202" t="inlineStr">
        <is>
          <t>horas</t>
        </is>
      </c>
      <c r="N117" s="202" t="inlineStr">
        <is>
          <t>dias</t>
        </is>
      </c>
      <c r="O117" s="202" t="inlineStr">
        <is>
          <t>Per/Dia</t>
        </is>
      </c>
      <c r="P117" s="202" t="inlineStr">
        <is>
          <t>UDS</t>
        </is>
      </c>
      <c r="Q117" s="205" t="inlineStr">
        <is>
          <t>€/Dia/h.</t>
        </is>
      </c>
      <c r="R117" s="205" t="n">
        <v>300</v>
      </c>
      <c r="S117" s="205" t="n">
        <v>300</v>
      </c>
      <c r="T117" s="202" t="n">
        <v>0</v>
      </c>
      <c r="U117" s="202">
        <f>F163*H163</f>
        <v/>
      </c>
      <c r="V117" s="202" t="n">
        <v>0</v>
      </c>
      <c r="W117" s="205" t="n">
        <v>0</v>
      </c>
      <c r="X117" s="205">
        <f>IFERROR((Q163/H163)/F163,0)</f>
        <v/>
      </c>
      <c r="Y117" s="205" t="n">
        <v>0</v>
      </c>
      <c r="Z117" s="205">
        <f>IF(I163=0,J163*K163,I163*J163*K163)</f>
        <v/>
      </c>
      <c r="AA117" s="205" t="n">
        <v>1</v>
      </c>
      <c r="AB117" s="205">
        <f>$N$169</f>
        <v/>
      </c>
      <c r="AC117" s="205" t="n">
        <v>0</v>
      </c>
      <c r="AD117" s="205">
        <f>SUM(M163*N163)+M163</f>
        <v/>
      </c>
    </row>
    <row r="118">
      <c r="A118" s="202" t="inlineStr">
        <is>
          <t>PRESUPUESTO</t>
        </is>
      </c>
      <c r="B118" s="204" t="n">
        <v>164</v>
      </c>
      <c r="C118" s="204" t="n">
        <v>162</v>
      </c>
      <c r="D118" s="202" t="inlineStr">
        <is>
          <t>PERSONAL</t>
        </is>
      </c>
      <c r="E118" s="202" t="inlineStr">
        <is>
          <t>log_y_per</t>
        </is>
      </c>
      <c r="F118" s="202" t="inlineStr">
        <is>
          <t>log_y_per_personal_persona_desmontaje_12h_bcn_1_2_dieta</t>
        </is>
      </c>
      <c r="G118" s="202" t="inlineStr">
        <is>
          <t>Log. y Per.</t>
        </is>
      </c>
      <c r="H118" s="202" t="inlineStr">
        <is>
          <t>Personal</t>
        </is>
      </c>
      <c r="I118" s="202" t="n"/>
      <c r="J118" s="202" t="inlineStr">
        <is>
          <t>Persona Desmontaje (12h) BCN (1/2 Dieta)</t>
        </is>
      </c>
      <c r="K118" s="202" t="n"/>
      <c r="L118" s="202" t="inlineStr">
        <is>
          <t>Persona</t>
        </is>
      </c>
      <c r="M118" s="202" t="inlineStr">
        <is>
          <t>horas</t>
        </is>
      </c>
      <c r="N118" s="202" t="inlineStr">
        <is>
          <t>dias</t>
        </is>
      </c>
      <c r="O118" s="202" t="inlineStr">
        <is>
          <t>Per/Dia</t>
        </is>
      </c>
      <c r="P118" s="202" t="inlineStr">
        <is>
          <t>UDS</t>
        </is>
      </c>
      <c r="Q118" s="205" t="inlineStr">
        <is>
          <t>€/Dia/h.</t>
        </is>
      </c>
      <c r="R118" s="205" t="n">
        <v>300</v>
      </c>
      <c r="S118" s="205" t="n">
        <v>300</v>
      </c>
      <c r="T118" s="202" t="n">
        <v>0</v>
      </c>
      <c r="U118" s="202">
        <f>F164*H164</f>
        <v/>
      </c>
      <c r="V118" s="202" t="n">
        <v>0</v>
      </c>
      <c r="W118" s="205" t="n">
        <v>0</v>
      </c>
      <c r="X118" s="205">
        <f>IFERROR((Q164/H164)/F164,0)</f>
        <v/>
      </c>
      <c r="Y118" s="205" t="n">
        <v>0</v>
      </c>
      <c r="Z118" s="205">
        <f>IF(I164=0,J164*K164,I164*J164*K164)</f>
        <v/>
      </c>
      <c r="AA118" s="205" t="n">
        <v>1</v>
      </c>
      <c r="AB118" s="205">
        <f>$N$169</f>
        <v/>
      </c>
      <c r="AC118" s="205" t="n">
        <v>0</v>
      </c>
      <c r="AD118" s="205">
        <f>SUM(M164*N164)+M164</f>
        <v/>
      </c>
    </row>
    <row r="119">
      <c r="A119" s="202" t="inlineStr">
        <is>
          <t>PRESUPUESTO</t>
        </is>
      </c>
      <c r="B119" s="204" t="n">
        <v>165</v>
      </c>
      <c r="C119" s="204" t="n">
        <v>162</v>
      </c>
      <c r="D119" s="202" t="inlineStr">
        <is>
          <t>PERSONAL</t>
        </is>
      </c>
      <c r="E119" s="202" t="inlineStr">
        <is>
          <t>log_y_per</t>
        </is>
      </c>
      <c r="F119" s="202" t="inlineStr">
        <is>
          <t>log_y_per_personal_persona_montaje_12h_fuera_dieta_completa</t>
        </is>
      </c>
      <c r="G119" s="202" t="inlineStr">
        <is>
          <t>Log. y Per.</t>
        </is>
      </c>
      <c r="H119" s="202" t="inlineStr">
        <is>
          <t>Personal</t>
        </is>
      </c>
      <c r="I119" s="202" t="n"/>
      <c r="J119" s="202" t="inlineStr">
        <is>
          <t>Persona Montaje (12h) Fuera (Dieta completa)</t>
        </is>
      </c>
      <c r="K119" s="202" t="n"/>
      <c r="L119" s="202" t="inlineStr">
        <is>
          <t>Persona</t>
        </is>
      </c>
      <c r="M119" s="202" t="inlineStr">
        <is>
          <t>horas</t>
        </is>
      </c>
      <c r="N119" s="202" t="inlineStr">
        <is>
          <t>dias</t>
        </is>
      </c>
      <c r="O119" s="202" t="inlineStr">
        <is>
          <t>Per/Dia</t>
        </is>
      </c>
      <c r="P119" s="202" t="inlineStr">
        <is>
          <t>UDS</t>
        </is>
      </c>
      <c r="Q119" s="205" t="inlineStr">
        <is>
          <t>€/Dia/h.</t>
        </is>
      </c>
      <c r="R119" s="205" t="n">
        <v>300</v>
      </c>
      <c r="S119" s="205" t="n">
        <v>300</v>
      </c>
      <c r="T119" s="202" t="n">
        <v>0</v>
      </c>
      <c r="U119" s="202">
        <f>F165*H165</f>
        <v/>
      </c>
      <c r="V119" s="202" t="n">
        <v>0</v>
      </c>
      <c r="W119" s="205" t="n">
        <v>0</v>
      </c>
      <c r="X119" s="205">
        <f>IFERROR((Q165/H165)/F165,0)</f>
        <v/>
      </c>
      <c r="Y119" s="205" t="n">
        <v>0</v>
      </c>
      <c r="Z119" s="205">
        <f>IF(I165=0,J165*K165,I165*J165*K165)</f>
        <v/>
      </c>
      <c r="AA119" s="205" t="n">
        <v>1</v>
      </c>
      <c r="AB119" s="205">
        <f>$N$169</f>
        <v/>
      </c>
      <c r="AC119" s="205" t="n">
        <v>0</v>
      </c>
      <c r="AD119" s="205">
        <f>SUM(M165*N165)+M165</f>
        <v/>
      </c>
    </row>
    <row r="120">
      <c r="A120" s="202" t="inlineStr">
        <is>
          <t>PRESUPUESTO</t>
        </is>
      </c>
      <c r="B120" s="204" t="n">
        <v>166</v>
      </c>
      <c r="C120" s="204" t="n">
        <v>162</v>
      </c>
      <c r="D120" s="202" t="inlineStr">
        <is>
          <t>PERSONAL</t>
        </is>
      </c>
      <c r="E120" s="202" t="inlineStr">
        <is>
          <t>log_y_per</t>
        </is>
      </c>
      <c r="F120" s="202" t="inlineStr">
        <is>
          <t>log_y_per_personal_persona_desmontaje_12h_fuera_dieta_completa</t>
        </is>
      </c>
      <c r="G120" s="202" t="inlineStr">
        <is>
          <t>Log. y Per.</t>
        </is>
      </c>
      <c r="H120" s="202" t="inlineStr">
        <is>
          <t>Personal</t>
        </is>
      </c>
      <c r="I120" s="202" t="n"/>
      <c r="J120" s="202" t="inlineStr">
        <is>
          <t>Persona Desmontaje (12h) Fuera (Dieta completa)</t>
        </is>
      </c>
      <c r="K120" s="202" t="n"/>
      <c r="L120" s="202" t="inlineStr">
        <is>
          <t>Persona</t>
        </is>
      </c>
      <c r="M120" s="202" t="inlineStr">
        <is>
          <t>horas</t>
        </is>
      </c>
      <c r="N120" s="202" t="inlineStr">
        <is>
          <t>dias</t>
        </is>
      </c>
      <c r="O120" s="202" t="inlineStr">
        <is>
          <t>Per/Dia</t>
        </is>
      </c>
      <c r="P120" s="202" t="inlineStr">
        <is>
          <t>UDS</t>
        </is>
      </c>
      <c r="Q120" s="205" t="inlineStr">
        <is>
          <t>€/Dia/h.</t>
        </is>
      </c>
      <c r="R120" s="205" t="n">
        <v>300</v>
      </c>
      <c r="S120" s="205" t="n">
        <v>300</v>
      </c>
      <c r="T120" s="202" t="n">
        <v>0</v>
      </c>
      <c r="U120" s="202">
        <f>F166*H166</f>
        <v/>
      </c>
      <c r="V120" s="202" t="n">
        <v>0</v>
      </c>
      <c r="W120" s="205" t="n">
        <v>0</v>
      </c>
      <c r="X120" s="205">
        <f>IFERROR((Q166/H166)/F166,0)</f>
        <v/>
      </c>
      <c r="Y120" s="205" t="n">
        <v>0</v>
      </c>
      <c r="Z120" s="205">
        <f>IF(I166=0,J166*K166,I166*J166*K166)</f>
        <v/>
      </c>
      <c r="AA120" s="205" t="n">
        <v>1</v>
      </c>
      <c r="AB120" s="205">
        <f>$N$169</f>
        <v/>
      </c>
      <c r="AC120" s="205" t="n">
        <v>0</v>
      </c>
      <c r="AD120" s="205">
        <f>SUM(M166*N166)+M166</f>
        <v/>
      </c>
    </row>
    <row r="121">
      <c r="A121" s="202" t="inlineStr">
        <is>
          <t>PRESUPUESTO</t>
        </is>
      </c>
      <c r="B121" s="204" t="n">
        <v>168</v>
      </c>
      <c r="C121" s="204" t="n">
        <v>167</v>
      </c>
      <c r="D121" s="202" t="inlineStr">
        <is>
          <t>RECICLAJE</t>
        </is>
      </c>
      <c r="E121" s="202" t="inlineStr">
        <is>
          <t>log_y_per</t>
        </is>
      </c>
      <c r="F121" s="202" t="inlineStr">
        <is>
          <t>log_y_per_reciclaje_reciclaje_feria_bcn</t>
        </is>
      </c>
      <c r="G121" s="202" t="inlineStr">
        <is>
          <t>Log. y Per.</t>
        </is>
      </c>
      <c r="H121" s="202" t="inlineStr">
        <is>
          <t>Reciclaje</t>
        </is>
      </c>
      <c r="I121" s="202" t="n"/>
      <c r="J121" s="202" t="inlineStr">
        <is>
          <t>Reciclaje feria BCN</t>
        </is>
      </c>
      <c r="K121" s="202" t="inlineStr">
        <is>
          <t>*Poner Precios correctos</t>
        </is>
      </c>
      <c r="L121" s="202" t="n"/>
      <c r="M121" s="202" t="n"/>
      <c r="N121" s="202" t="n"/>
      <c r="O121" s="202" t="n"/>
      <c r="P121" s="202" t="inlineStr">
        <is>
          <t>UDS</t>
        </is>
      </c>
      <c r="Q121" s="205" t="inlineStr">
        <is>
          <t>€/UDS</t>
        </is>
      </c>
      <c r="R121" s="205" t="n">
        <v>300</v>
      </c>
      <c r="S121" s="205" t="n">
        <v>300</v>
      </c>
      <c r="T121" s="202" t="n"/>
      <c r="U121" s="202" t="n"/>
      <c r="V121" s="202" t="n">
        <v>0</v>
      </c>
      <c r="W121" s="205" t="n">
        <v>0</v>
      </c>
      <c r="X121" s="205">
        <f>IFERROR(ROUNDUP((Q168/J168)/0.5,0)*0.5,0)</f>
        <v/>
      </c>
      <c r="Y121" s="205" t="n">
        <v>0</v>
      </c>
      <c r="Z121" s="205">
        <f>IF(I168=0,J168*K168,I168*J168*K168)</f>
        <v/>
      </c>
      <c r="AA121" s="205" t="n">
        <v>1</v>
      </c>
      <c r="AB121" s="205">
        <f>$N$169</f>
        <v/>
      </c>
      <c r="AC121" s="205" t="n">
        <v>0</v>
      </c>
      <c r="AD121" s="205">
        <f>SUM(M168*N168)+M168</f>
        <v/>
      </c>
    </row>
  </sheetData>
  <mergeCells count="1">
    <mergeCell ref="A1:A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7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style="192" min="1" max="1"/>
    <col width="12" customWidth="1" style="192" min="2" max="2"/>
    <col width="40" customWidth="1" style="192" min="3" max="3"/>
    <col width="11" customWidth="1" style="192" min="4" max="4"/>
    <col width="22" customWidth="1" style="192" min="5" max="5"/>
    <col width="40" customWidth="1" style="192" min="6" max="6"/>
    <col width="6" customWidth="1" style="192" min="7" max="7"/>
    <col width="6" customWidth="1" style="192" min="8" max="8"/>
    <col width="14" customWidth="1" style="192" min="9" max="9"/>
    <col width="15" customWidth="1" style="192" min="10" max="10"/>
    <col width="22" customWidth="1" style="192" min="11" max="11"/>
    <col width="9" customWidth="1" style="192" min="12" max="12"/>
    <col width="18" customWidth="1" style="192" min="13" max="13"/>
    <col width="19" customWidth="1" style="192" min="14" max="14"/>
    <col width="23" customWidth="1" style="192" min="15" max="15"/>
    <col width="19" customWidth="1" style="192" min="16" max="16"/>
    <col width="15" customWidth="1" style="192" min="17" max="17"/>
    <col width="23" customWidth="1" style="192" min="18" max="18"/>
    <col width="19" customWidth="1" style="192" min="19" max="19"/>
    <col width="20" customWidth="1" style="192" min="20" max="20"/>
    <col width="23" customWidth="1" style="192" min="21" max="21"/>
    <col width="19" customWidth="1" style="192" min="22" max="22"/>
    <col width="16" customWidth="1" style="192" min="23" max="23"/>
    <col width="30" customWidth="1" style="192" min="24" max="24"/>
  </cols>
  <sheetData>
    <row r="1">
      <c r="A1" s="200" t="inlineStr">
        <is>
          <t>COSTE NORMALIZADO</t>
        </is>
      </c>
    </row>
    <row r="2">
      <c r="A2" s="203" t="inlineStr">
        <is>
          <t>source_sheet</t>
        </is>
      </c>
      <c r="B2" s="203" t="inlineStr">
        <is>
          <t>source_row</t>
        </is>
      </c>
      <c r="C2" s="203" t="inlineStr">
        <is>
          <t>item_key</t>
        </is>
      </c>
      <c r="D2" s="203" t="inlineStr">
        <is>
          <t>family</t>
        </is>
      </c>
      <c r="E2" s="203" t="inlineStr">
        <is>
          <t>subfamily_material</t>
        </is>
      </c>
      <c r="F2" s="203" t="inlineStr">
        <is>
          <t>description</t>
        </is>
      </c>
      <c r="G2" s="203" t="inlineStr">
        <is>
          <t>x_mm</t>
        </is>
      </c>
      <c r="H2" s="203" t="inlineStr">
        <is>
          <t>y_mm</t>
        </is>
      </c>
      <c r="I2" s="203" t="inlineStr">
        <is>
          <t>thickness_mm</t>
        </is>
      </c>
      <c r="J2" s="203" t="inlineStr">
        <is>
          <t>price_current</t>
        </is>
      </c>
      <c r="K2" s="203" t="inlineStr">
        <is>
          <t>price_raw</t>
        </is>
      </c>
      <c r="L2" s="203" t="inlineStr">
        <is>
          <t>unit</t>
        </is>
      </c>
      <c r="M2" s="203" t="inlineStr">
        <is>
          <t>provider_current</t>
        </is>
      </c>
      <c r="N2" s="203" t="inlineStr">
        <is>
          <t>provider_raw</t>
        </is>
      </c>
      <c r="O2" s="203" t="inlineStr">
        <is>
          <t>extra_1_value_current</t>
        </is>
      </c>
      <c r="P2" s="203" t="inlineStr">
        <is>
          <t>extra_1_value_raw</t>
        </is>
      </c>
      <c r="Q2" s="203" t="inlineStr">
        <is>
          <t>extra_1_label</t>
        </is>
      </c>
      <c r="R2" s="203" t="inlineStr">
        <is>
          <t>extra_2_value_current</t>
        </is>
      </c>
      <c r="S2" s="203" t="inlineStr">
        <is>
          <t>extra_2_value_raw</t>
        </is>
      </c>
      <c r="T2" s="203" t="inlineStr">
        <is>
          <t>extra_2_label</t>
        </is>
      </c>
      <c r="U2" s="203" t="inlineStr">
        <is>
          <t>extra_3_value_current</t>
        </is>
      </c>
      <c r="V2" s="203" t="inlineStr">
        <is>
          <t>extra_3_value_raw</t>
        </is>
      </c>
      <c r="W2" s="203" t="inlineStr">
        <is>
          <t>extra_3_label</t>
        </is>
      </c>
      <c r="X2" s="203" t="inlineStr">
        <is>
          <t>notes_or_extra</t>
        </is>
      </c>
    </row>
    <row r="3">
      <c r="A3" s="202" t="inlineStr">
        <is>
          <t>COSTE</t>
        </is>
      </c>
      <c r="B3" s="204" t="n">
        <v>3</v>
      </c>
      <c r="C3" s="202" t="inlineStr">
        <is>
          <t>personal_diseno</t>
        </is>
      </c>
      <c r="D3" s="202" t="inlineStr">
        <is>
          <t>Personal</t>
        </is>
      </c>
      <c r="E3" s="202" t="inlineStr">
        <is>
          <t>Diseño</t>
        </is>
      </c>
      <c r="F3" s="202" t="n"/>
      <c r="G3" s="204" t="n"/>
      <c r="H3" s="204" t="n"/>
      <c r="I3" s="204" t="n"/>
      <c r="J3" s="205" t="n">
        <v>21.26</v>
      </c>
      <c r="K3" s="205">
        <f>COMPARATIVA!G3</f>
        <v/>
      </c>
      <c r="L3" s="202" t="inlineStr">
        <is>
          <t>€/h</t>
        </is>
      </c>
      <c r="M3" s="202" t="inlineStr">
        <is>
          <t>ESWood</t>
        </is>
      </c>
      <c r="N3" s="202" t="inlineStr">
        <is>
          <t>ESWood</t>
        </is>
      </c>
      <c r="O3" s="205" t="n"/>
      <c r="P3" s="205" t="n"/>
      <c r="Q3" s="202" t="n"/>
      <c r="R3" s="205" t="n"/>
      <c r="S3" s="205" t="n"/>
      <c r="T3" s="202" t="n"/>
      <c r="U3" s="205" t="n"/>
      <c r="V3" s="205" t="n"/>
      <c r="W3" s="202" t="n"/>
      <c r="X3" s="202" t="n"/>
    </row>
    <row r="4">
      <c r="A4" s="202" t="inlineStr">
        <is>
          <t>COSTE</t>
        </is>
      </c>
      <c r="B4" s="204" t="n">
        <v>4</v>
      </c>
      <c r="C4" s="202" t="inlineStr">
        <is>
          <t>personal_fabricacion</t>
        </is>
      </c>
      <c r="D4" s="202" t="inlineStr">
        <is>
          <t>Personal</t>
        </is>
      </c>
      <c r="E4" s="202" t="inlineStr">
        <is>
          <t>Fabricación</t>
        </is>
      </c>
      <c r="F4" s="202" t="n"/>
      <c r="G4" s="204" t="n"/>
      <c r="H4" s="204" t="n"/>
      <c r="I4" s="204" t="n"/>
      <c r="J4" s="205" t="n">
        <v>22.4</v>
      </c>
      <c r="K4" s="205">
        <f>COMPARATIVA!G4</f>
        <v/>
      </c>
      <c r="L4" s="202" t="inlineStr">
        <is>
          <t>€/h</t>
        </is>
      </c>
      <c r="M4" s="202" t="inlineStr">
        <is>
          <t>ESWood</t>
        </is>
      </c>
      <c r="N4" s="202" t="inlineStr">
        <is>
          <t>ESWood</t>
        </is>
      </c>
      <c r="O4" s="205" t="n">
        <v>23.7</v>
      </c>
      <c r="P4" s="205" t="n">
        <v>23.7</v>
      </c>
      <c r="Q4" s="202" t="inlineStr">
        <is>
          <t>H. Extra</t>
        </is>
      </c>
      <c r="R4" s="205" t="n">
        <v>13.52</v>
      </c>
      <c r="S4" s="205" t="n">
        <v>13.52</v>
      </c>
      <c r="T4" s="202" t="inlineStr">
        <is>
          <t>1/2Dieta</t>
        </is>
      </c>
      <c r="U4" s="205" t="n">
        <v>67</v>
      </c>
      <c r="V4" s="205" t="n">
        <v>67</v>
      </c>
      <c r="W4" s="202" t="inlineStr">
        <is>
          <t>Dieta completa</t>
        </is>
      </c>
      <c r="X4" s="202" t="n"/>
    </row>
    <row r="5">
      <c r="A5" s="202" t="inlineStr">
        <is>
          <t>COSTE</t>
        </is>
      </c>
      <c r="B5" s="204" t="n">
        <v>5</v>
      </c>
      <c r="C5" s="202" t="inlineStr">
        <is>
          <t>personal_montaje</t>
        </is>
      </c>
      <c r="D5" s="202" t="inlineStr">
        <is>
          <t>Personal</t>
        </is>
      </c>
      <c r="E5" s="202" t="inlineStr">
        <is>
          <t>Montaje</t>
        </is>
      </c>
      <c r="F5" s="202" t="n"/>
      <c r="G5" s="204" t="n"/>
      <c r="H5" s="204" t="n"/>
      <c r="I5" s="204" t="n"/>
      <c r="J5" s="205" t="n">
        <v>19.23</v>
      </c>
      <c r="K5" s="205">
        <f>COMPARATIVA!G5</f>
        <v/>
      </c>
      <c r="L5" s="202" t="inlineStr">
        <is>
          <t>€/h</t>
        </is>
      </c>
      <c r="M5" s="202" t="inlineStr">
        <is>
          <t>ESWood</t>
        </is>
      </c>
      <c r="N5" s="202" t="inlineStr">
        <is>
          <t>ESWood</t>
        </is>
      </c>
      <c r="O5" s="205" t="n">
        <v>23.7</v>
      </c>
      <c r="P5" s="205" t="n">
        <v>23.7</v>
      </c>
      <c r="Q5" s="202" t="inlineStr">
        <is>
          <t>H. Extra</t>
        </is>
      </c>
      <c r="R5" s="205" t="n">
        <v>13.52</v>
      </c>
      <c r="S5" s="205" t="n">
        <v>13.52</v>
      </c>
      <c r="T5" s="202" t="inlineStr">
        <is>
          <t>1/2Dieta</t>
        </is>
      </c>
      <c r="U5" s="205" t="n">
        <v>67</v>
      </c>
      <c r="V5" s="205" t="n">
        <v>67</v>
      </c>
      <c r="W5" s="202" t="inlineStr">
        <is>
          <t>Dieta completa</t>
        </is>
      </c>
      <c r="X5" s="202" t="n"/>
    </row>
    <row r="6">
      <c r="A6" s="202" t="inlineStr">
        <is>
          <t>COSTE</t>
        </is>
      </c>
      <c r="B6" s="204" t="n">
        <v>6</v>
      </c>
      <c r="C6" s="202" t="inlineStr">
        <is>
          <t>personal_desmontaje</t>
        </is>
      </c>
      <c r="D6" s="202" t="inlineStr">
        <is>
          <t>Personal</t>
        </is>
      </c>
      <c r="E6" s="202" t="inlineStr">
        <is>
          <t>Desmontaje</t>
        </is>
      </c>
      <c r="F6" s="202" t="n"/>
      <c r="G6" s="204" t="n"/>
      <c r="H6" s="204" t="n"/>
      <c r="I6" s="204" t="n"/>
      <c r="J6" s="205" t="n">
        <v>19.23</v>
      </c>
      <c r="K6" s="205">
        <f>COMPARATIVA!G6</f>
        <v/>
      </c>
      <c r="L6" s="202" t="inlineStr">
        <is>
          <t>€/h</t>
        </is>
      </c>
      <c r="M6" s="202" t="inlineStr">
        <is>
          <t>ESWood</t>
        </is>
      </c>
      <c r="N6" s="202" t="inlineStr">
        <is>
          <t>ESWood</t>
        </is>
      </c>
      <c r="O6" s="205" t="n">
        <v>23.7</v>
      </c>
      <c r="P6" s="205" t="n">
        <v>23.7</v>
      </c>
      <c r="Q6" s="202" t="inlineStr">
        <is>
          <t>H. Extra</t>
        </is>
      </c>
      <c r="R6" s="205" t="n">
        <v>13.52</v>
      </c>
      <c r="S6" s="205" t="n">
        <v>13.52</v>
      </c>
      <c r="T6" s="202" t="inlineStr">
        <is>
          <t>1/2Dieta</t>
        </is>
      </c>
      <c r="U6" s="205" t="n">
        <v>67</v>
      </c>
      <c r="V6" s="205" t="n">
        <v>67</v>
      </c>
      <c r="W6" s="202" t="inlineStr">
        <is>
          <t>Dieta completa</t>
        </is>
      </c>
      <c r="X6" s="202" t="n"/>
    </row>
    <row r="7">
      <c r="A7" s="202" t="inlineStr">
        <is>
          <t>COSTE</t>
        </is>
      </c>
      <c r="B7" s="204" t="n">
        <v>7</v>
      </c>
      <c r="C7" s="202" t="inlineStr">
        <is>
          <t>personal_externo_montaje_desmontaje_externo_al_dia</t>
        </is>
      </c>
      <c r="D7" s="202" t="inlineStr">
        <is>
          <t>Personal</t>
        </is>
      </c>
      <c r="E7" s="202" t="inlineStr">
        <is>
          <t>Externo</t>
        </is>
      </c>
      <c r="F7" s="202" t="inlineStr">
        <is>
          <t>Montaje / Desmontaje Externo al dia</t>
        </is>
      </c>
      <c r="G7" s="204" t="n"/>
      <c r="H7" s="204" t="n"/>
      <c r="I7" s="204" t="n"/>
      <c r="J7" s="205" t="n">
        <v>250</v>
      </c>
      <c r="K7" s="205">
        <f>COMPARATIVA!G7</f>
        <v/>
      </c>
      <c r="L7" s="202" t="inlineStr">
        <is>
          <t>dia</t>
        </is>
      </c>
      <c r="M7" s="202" t="inlineStr">
        <is>
          <t>German</t>
        </is>
      </c>
      <c r="N7" s="202" t="inlineStr">
        <is>
          <t>German</t>
        </is>
      </c>
      <c r="O7" s="205" t="n"/>
      <c r="P7" s="205" t="n"/>
      <c r="Q7" s="202" t="n"/>
      <c r="R7" s="205" t="n"/>
      <c r="S7" s="205" t="n"/>
      <c r="T7" s="202" t="n"/>
      <c r="U7" s="205" t="n"/>
      <c r="V7" s="205" t="n"/>
      <c r="W7" s="202" t="n"/>
      <c r="X7" s="202" t="n"/>
    </row>
    <row r="8">
      <c r="A8" s="202" t="inlineStr">
        <is>
          <t>COSTE</t>
        </is>
      </c>
      <c r="B8" s="204" t="n">
        <v>8</v>
      </c>
      <c r="C8" s="202" t="inlineStr">
        <is>
          <t>personal_coordinador_externo_montaje_desmontaje_coordinador_externo_al_dia</t>
        </is>
      </c>
      <c r="D8" s="202" t="inlineStr">
        <is>
          <t>Personal</t>
        </is>
      </c>
      <c r="E8" s="202" t="inlineStr">
        <is>
          <t xml:space="preserve">Coordinador Externo </t>
        </is>
      </c>
      <c r="F8" s="202" t="inlineStr">
        <is>
          <t xml:space="preserve">Montaje / Desmontaje Coordinador Externo al dia </t>
        </is>
      </c>
      <c r="G8" s="204" t="n"/>
      <c r="H8" s="204" t="n"/>
      <c r="I8" s="204" t="n"/>
      <c r="J8" s="205" t="n">
        <v>300</v>
      </c>
      <c r="K8" s="205">
        <f>COMPARATIVA!G8</f>
        <v/>
      </c>
      <c r="L8" s="202" t="inlineStr">
        <is>
          <t>dia</t>
        </is>
      </c>
      <c r="M8" s="202" t="inlineStr">
        <is>
          <t>German</t>
        </is>
      </c>
      <c r="N8" s="202" t="inlineStr">
        <is>
          <t>German</t>
        </is>
      </c>
      <c r="O8" s="205" t="n"/>
      <c r="P8" s="205" t="n"/>
      <c r="Q8" s="202" t="n"/>
      <c r="R8" s="205" t="n"/>
      <c r="S8" s="205" t="n"/>
      <c r="T8" s="202" t="n"/>
      <c r="U8" s="205" t="n"/>
      <c r="V8" s="205" t="n"/>
      <c r="W8" s="202" t="n"/>
      <c r="X8" s="202" t="n"/>
    </row>
    <row r="9">
      <c r="A9" s="202" t="inlineStr">
        <is>
          <t>COSTE</t>
        </is>
      </c>
      <c r="B9" s="204" t="n">
        <v>9</v>
      </c>
      <c r="C9" s="202" t="inlineStr">
        <is>
          <t>personal_externo_herrameintas</t>
        </is>
      </c>
      <c r="D9" s="202" t="inlineStr">
        <is>
          <t>Personal</t>
        </is>
      </c>
      <c r="E9" s="202" t="inlineStr">
        <is>
          <t>Externo+Herrameintas</t>
        </is>
      </c>
      <c r="F9" s="202" t="n"/>
      <c r="G9" s="204" t="n"/>
      <c r="H9" s="204" t="n"/>
      <c r="I9" s="204" t="n"/>
      <c r="J9" s="205" t="n">
        <v>0</v>
      </c>
      <c r="K9" s="205">
        <f>COMPARATIVA!G9</f>
        <v/>
      </c>
      <c r="L9" s="202" t="inlineStr">
        <is>
          <t>dia</t>
        </is>
      </c>
      <c r="M9" s="202" t="n"/>
      <c r="N9" s="202" t="n"/>
      <c r="O9" s="205" t="n"/>
      <c r="P9" s="205" t="n"/>
      <c r="Q9" s="202" t="n"/>
      <c r="R9" s="205" t="n"/>
      <c r="S9" s="205" t="n"/>
      <c r="T9" s="202" t="n"/>
      <c r="U9" s="205" t="n"/>
      <c r="V9" s="205" t="n"/>
      <c r="W9" s="202" t="n"/>
      <c r="X9" s="202" t="n"/>
    </row>
    <row r="10">
      <c r="A10" s="202" t="inlineStr">
        <is>
          <t>COSTE</t>
        </is>
      </c>
      <c r="B10" s="204" t="n">
        <v>10</v>
      </c>
      <c r="C10" s="202" t="inlineStr">
        <is>
          <t>personal_externo_herrameintas</t>
        </is>
      </c>
      <c r="D10" s="202" t="inlineStr">
        <is>
          <t>Personal</t>
        </is>
      </c>
      <c r="E10" s="202" t="inlineStr">
        <is>
          <t>Externo+Herrameintas</t>
        </is>
      </c>
      <c r="F10" s="202" t="n"/>
      <c r="G10" s="204" t="n"/>
      <c r="H10" s="204" t="n"/>
      <c r="I10" s="204" t="n"/>
      <c r="J10" s="205" t="n">
        <v>0</v>
      </c>
      <c r="K10" s="205">
        <f>COMPARATIVA!G10</f>
        <v/>
      </c>
      <c r="L10" s="202" t="inlineStr">
        <is>
          <t>dia</t>
        </is>
      </c>
      <c r="M10" s="202" t="n"/>
      <c r="N10" s="202" t="n"/>
      <c r="O10" s="205" t="n"/>
      <c r="P10" s="205" t="n"/>
      <c r="Q10" s="202" t="n"/>
      <c r="R10" s="205" t="n"/>
      <c r="S10" s="205" t="n"/>
      <c r="T10" s="202" t="n"/>
      <c r="U10" s="205" t="n"/>
      <c r="V10" s="205" t="n"/>
      <c r="W10" s="202" t="n"/>
      <c r="X10" s="202" t="n"/>
    </row>
    <row r="11">
      <c r="A11" s="202" t="inlineStr">
        <is>
          <t>COSTE</t>
        </is>
      </c>
      <c r="B11" s="204" t="n">
        <v>11</v>
      </c>
      <c r="C11" s="202" t="inlineStr">
        <is>
          <t>cnc_corte</t>
        </is>
      </c>
      <c r="D11" s="202" t="inlineStr">
        <is>
          <t>CNC</t>
        </is>
      </c>
      <c r="E11" s="202" t="inlineStr">
        <is>
          <t>Corte</t>
        </is>
      </c>
      <c r="F11" s="202" t="n"/>
      <c r="G11" s="204" t="n"/>
      <c r="H11" s="204" t="n"/>
      <c r="I11" s="204" t="n"/>
      <c r="J11" s="205" t="n">
        <v>23</v>
      </c>
      <c r="K11" s="205">
        <f>COMPARATIVA!G11</f>
        <v/>
      </c>
      <c r="L11" s="202" t="inlineStr">
        <is>
          <t>Tablero</t>
        </is>
      </c>
      <c r="M11" s="202" t="inlineStr">
        <is>
          <t>ESWood</t>
        </is>
      </c>
      <c r="N11" s="202" t="inlineStr">
        <is>
          <t>ESWood</t>
        </is>
      </c>
      <c r="O11" s="205" t="n"/>
      <c r="P11" s="205" t="n"/>
      <c r="Q11" s="202" t="n"/>
      <c r="R11" s="205" t="n"/>
      <c r="S11" s="205" t="n"/>
      <c r="T11" s="202" t="n"/>
      <c r="U11" s="205" t="n"/>
      <c r="V11" s="205" t="n"/>
      <c r="W11" s="202" t="n"/>
      <c r="X11" s="202" t="n"/>
    </row>
    <row r="12">
      <c r="A12" s="202" t="inlineStr">
        <is>
          <t>COSTE</t>
        </is>
      </c>
      <c r="B12" s="204" t="n">
        <v>13</v>
      </c>
      <c r="C12" s="202" t="inlineStr">
        <is>
          <t>tablero_mel_blanca_melamina_blanco_k_110_pe_2_c_sef_16_mm</t>
        </is>
      </c>
      <c r="D12" s="202" t="inlineStr">
        <is>
          <t>Tablero</t>
        </is>
      </c>
      <c r="E12" s="202" t="inlineStr">
        <is>
          <t>Mel. Blanca</t>
        </is>
      </c>
      <c r="F12" s="202" t="inlineStr">
        <is>
          <t>Melamina Blanco K-110 PE 2/c Sef 16 mm</t>
        </is>
      </c>
      <c r="G12" s="204" t="n">
        <v>2800</v>
      </c>
      <c r="H12" s="204" t="n">
        <v>2070</v>
      </c>
      <c r="I12" s="204" t="n">
        <v>16</v>
      </c>
      <c r="J12" s="205" t="n">
        <v>4.79</v>
      </c>
      <c r="K12" s="205">
        <f>COMPARATIVA!G13</f>
        <v/>
      </c>
      <c r="L12" s="202" t="inlineStr">
        <is>
          <t>€/m2</t>
        </is>
      </c>
      <c r="M12" s="202" t="inlineStr">
        <is>
          <t>Closa</t>
        </is>
      </c>
      <c r="N12" s="202">
        <f>COMPARATIVA!I13</f>
        <v/>
      </c>
      <c r="O12" s="205" t="n">
        <v>0.58</v>
      </c>
      <c r="P12" s="205">
        <f>COMPARATIVA!J13</f>
        <v/>
      </c>
      <c r="Q12" s="202" t="inlineStr">
        <is>
          <t>Corte (+/-m2)</t>
        </is>
      </c>
      <c r="R12" s="205" t="n">
        <v>1.35</v>
      </c>
      <c r="S12" s="205">
        <f>COMPARATIVA!L13</f>
        <v/>
      </c>
      <c r="T12" s="202" t="inlineStr">
        <is>
          <t>Cadel</t>
        </is>
      </c>
      <c r="U12" s="205" t="n"/>
      <c r="V12" s="205" t="n"/>
      <c r="W12" s="202" t="n"/>
      <c r="X12" s="202">
        <f>((D13/1000)*(E13/1000))*G13</f>
        <v/>
      </c>
    </row>
    <row r="13">
      <c r="A13" s="202" t="inlineStr">
        <is>
          <t>COSTE</t>
        </is>
      </c>
      <c r="B13" s="204" t="n">
        <v>14</v>
      </c>
      <c r="C13" s="202" t="inlineStr">
        <is>
          <t>tablero_mel_negra_melamina_negra_u_190_vl_16_mm</t>
        </is>
      </c>
      <c r="D13" s="202" t="inlineStr">
        <is>
          <t>Tablero</t>
        </is>
      </c>
      <c r="E13" s="202" t="inlineStr">
        <is>
          <t>Mel. Negra</t>
        </is>
      </c>
      <c r="F13" s="202" t="inlineStr">
        <is>
          <t>Melamina Negra U-190 VL 16 mm</t>
        </is>
      </c>
      <c r="G13" s="204" t="n">
        <v>2800</v>
      </c>
      <c r="H13" s="204" t="n">
        <v>2070</v>
      </c>
      <c r="I13" s="204" t="n">
        <v>16</v>
      </c>
      <c r="J13" s="205" t="n">
        <v>4.79</v>
      </c>
      <c r="K13" s="205">
        <f>COMPARATIVA!G17</f>
        <v/>
      </c>
      <c r="L13" s="202" t="inlineStr">
        <is>
          <t>€/m2</t>
        </is>
      </c>
      <c r="M13" s="202" t="inlineStr">
        <is>
          <t>Closa</t>
        </is>
      </c>
      <c r="N13" s="202">
        <f>COMPARATIVA!I17</f>
        <v/>
      </c>
      <c r="O13" s="205" t="n">
        <v>0.58</v>
      </c>
      <c r="P13" s="205">
        <f>COMPARATIVA!J17</f>
        <v/>
      </c>
      <c r="Q13" s="202" t="inlineStr">
        <is>
          <t>Corte (+/-m2)</t>
        </is>
      </c>
      <c r="R13" s="205" t="n">
        <v>1.35</v>
      </c>
      <c r="S13" s="205">
        <f>COMPARATIVA!L17</f>
        <v/>
      </c>
      <c r="T13" s="202" t="inlineStr">
        <is>
          <t>Cadel</t>
        </is>
      </c>
      <c r="U13" s="205" t="n"/>
      <c r="V13" s="205" t="n"/>
      <c r="W13" s="202" t="n"/>
      <c r="X13" s="202">
        <f>((D14/1000)*(E14/1000))*G14</f>
        <v/>
      </c>
    </row>
    <row r="14">
      <c r="A14" s="202" t="inlineStr">
        <is>
          <t>COSTE</t>
        </is>
      </c>
      <c r="B14" s="204" t="n">
        <v>15</v>
      </c>
      <c r="C14" s="202" t="inlineStr">
        <is>
          <t>tablero_mel_velvet_melamina_velvet_oak_d_2693_mw_16_mm</t>
        </is>
      </c>
      <c r="D14" s="202" t="inlineStr">
        <is>
          <t>Tablero</t>
        </is>
      </c>
      <c r="E14" s="202" t="inlineStr">
        <is>
          <t>Mel. Velvet</t>
        </is>
      </c>
      <c r="F14" s="202" t="inlineStr">
        <is>
          <t>Melamina Velvet Oak D-2693 MW 16 mm</t>
        </is>
      </c>
      <c r="G14" s="204" t="n">
        <v>2800</v>
      </c>
      <c r="H14" s="204" t="n">
        <v>2070</v>
      </c>
      <c r="I14" s="204" t="n">
        <v>16</v>
      </c>
      <c r="J14" s="205" t="n">
        <v>10</v>
      </c>
      <c r="K14" s="205" t="n">
        <v>10</v>
      </c>
      <c r="L14" s="202" t="inlineStr">
        <is>
          <t>€/m2</t>
        </is>
      </c>
      <c r="M14" s="202" t="inlineStr">
        <is>
          <t>Mausa</t>
        </is>
      </c>
      <c r="N14" s="202" t="inlineStr">
        <is>
          <t>Mausa</t>
        </is>
      </c>
      <c r="O14" s="205" t="n">
        <v>1.98</v>
      </c>
      <c r="P14" s="205">
        <f>COMPARATIVA!J20</f>
        <v/>
      </c>
      <c r="Q14" s="202" t="inlineStr">
        <is>
          <t>Corte (+/-m2)</t>
        </is>
      </c>
      <c r="R14" s="205" t="n">
        <v>1.35</v>
      </c>
      <c r="S14" s="205" t="n">
        <v>1.35</v>
      </c>
      <c r="T14" s="202" t="inlineStr">
        <is>
          <t>Cadel</t>
        </is>
      </c>
      <c r="U14" s="205" t="n"/>
      <c r="V14" s="205" t="n"/>
      <c r="W14" s="202" t="n"/>
      <c r="X14" s="202">
        <f>((D15/1000)*(E15/1000))*G15</f>
        <v/>
      </c>
    </row>
    <row r="15">
      <c r="A15" s="202" t="inlineStr">
        <is>
          <t>COSTE</t>
        </is>
      </c>
      <c r="B15" s="204" t="n">
        <v>16</v>
      </c>
      <c r="C15" s="202" t="inlineStr">
        <is>
          <t>tablero_mel_niagra_melamina_niagara_oak_d_2240_vl_16_mm</t>
        </is>
      </c>
      <c r="D15" s="202" t="inlineStr">
        <is>
          <t>Tablero</t>
        </is>
      </c>
      <c r="E15" s="202" t="inlineStr">
        <is>
          <t>Mel. Niagra</t>
        </is>
      </c>
      <c r="F15" s="202" t="inlineStr">
        <is>
          <t>Melamina Niagara Oak D-2240 VL 16 mm</t>
        </is>
      </c>
      <c r="G15" s="204" t="n">
        <v>2800</v>
      </c>
      <c r="H15" s="204" t="n">
        <v>2070</v>
      </c>
      <c r="I15" s="204" t="n">
        <v>16</v>
      </c>
      <c r="J15" s="205" t="n">
        <v>9.800000000000001</v>
      </c>
      <c r="K15" s="205">
        <f>COMPARATIVA!G21</f>
        <v/>
      </c>
      <c r="L15" s="202" t="inlineStr">
        <is>
          <t>€/m2</t>
        </is>
      </c>
      <c r="M15" s="202" t="inlineStr">
        <is>
          <t>Mausa</t>
        </is>
      </c>
      <c r="N15" s="202">
        <f>COMPARATIVA!I21</f>
        <v/>
      </c>
      <c r="O15" s="205" t="n">
        <v>1.98</v>
      </c>
      <c r="P15" s="205">
        <f>COMPARATIVA!J21</f>
        <v/>
      </c>
      <c r="Q15" s="202" t="inlineStr">
        <is>
          <t>Corte (+/-m2)</t>
        </is>
      </c>
      <c r="R15" s="205" t="n">
        <v>1.35</v>
      </c>
      <c r="S15" s="205" t="n">
        <v>1.35</v>
      </c>
      <c r="T15" s="202" t="inlineStr">
        <is>
          <t>Cadel</t>
        </is>
      </c>
      <c r="U15" s="205" t="n"/>
      <c r="V15" s="205" t="n"/>
      <c r="W15" s="202" t="n"/>
      <c r="X15" s="202">
        <f>((D16/1000)*(E16/1000))*G16</f>
        <v/>
      </c>
    </row>
    <row r="16">
      <c r="A16" s="202" t="inlineStr">
        <is>
          <t>COSTE</t>
        </is>
      </c>
      <c r="B16" s="204" t="n">
        <v>17</v>
      </c>
      <c r="C16" s="202" t="inlineStr">
        <is>
          <t>tablero_mel_epecial</t>
        </is>
      </c>
      <c r="D16" s="202" t="inlineStr">
        <is>
          <t>Tablero</t>
        </is>
      </c>
      <c r="E16" s="202" t="inlineStr">
        <is>
          <t>Mel. Epecial</t>
        </is>
      </c>
      <c r="F16" s="202" t="n"/>
      <c r="G16" s="204" t="n">
        <v>2800</v>
      </c>
      <c r="H16" s="204" t="n">
        <v>2070</v>
      </c>
      <c r="I16" s="204" t="n">
        <v>16</v>
      </c>
      <c r="J16" s="205" t="n">
        <v>13</v>
      </c>
      <c r="K16" s="205" t="n">
        <v>13</v>
      </c>
      <c r="L16" s="202" t="inlineStr">
        <is>
          <t>€/m2</t>
        </is>
      </c>
      <c r="M16" s="202" t="inlineStr">
        <is>
          <t>Mausa</t>
        </is>
      </c>
      <c r="N16" s="202">
        <f>COMPARATIVA!I22</f>
        <v/>
      </c>
      <c r="O16" s="205" t="n">
        <v>1.98</v>
      </c>
      <c r="P16" s="205">
        <f>COMPARATIVA!J22</f>
        <v/>
      </c>
      <c r="Q16" s="202" t="inlineStr">
        <is>
          <t>Corte (+/-m2)</t>
        </is>
      </c>
      <c r="R16" s="205" t="n">
        <v>1.35</v>
      </c>
      <c r="S16" s="205" t="n">
        <v>1.35</v>
      </c>
      <c r="T16" s="202" t="inlineStr">
        <is>
          <t>Cadel</t>
        </is>
      </c>
      <c r="U16" s="205" t="n"/>
      <c r="V16" s="205" t="n"/>
      <c r="W16" s="202" t="n"/>
      <c r="X16" s="202">
        <f>((D17/1000)*(E17/1000))*G17</f>
        <v/>
      </c>
    </row>
    <row r="17">
      <c r="A17" s="202" t="inlineStr">
        <is>
          <t>COSTE</t>
        </is>
      </c>
      <c r="B17" s="204" t="n">
        <v>18</v>
      </c>
      <c r="C17" s="202" t="inlineStr">
        <is>
          <t>formica_blanca_formica_hpl</t>
        </is>
      </c>
      <c r="D17" s="202" t="inlineStr">
        <is>
          <t>Formica</t>
        </is>
      </c>
      <c r="E17" s="202" t="inlineStr">
        <is>
          <t>Blanca</t>
        </is>
      </c>
      <c r="F17" s="202" t="inlineStr">
        <is>
          <t>Formica HPL</t>
        </is>
      </c>
      <c r="G17" s="204" t="n"/>
      <c r="H17" s="204" t="n"/>
      <c r="I17" s="204" t="n">
        <v>0.8</v>
      </c>
      <c r="J17" s="205" t="n">
        <v>15</v>
      </c>
      <c r="K17" s="205" t="n">
        <v>15</v>
      </c>
      <c r="L17" s="202" t="inlineStr">
        <is>
          <t>€/m2</t>
        </is>
      </c>
      <c r="M17" s="202" t="inlineStr">
        <is>
          <t>Gabarro</t>
        </is>
      </c>
      <c r="N17" s="202" t="inlineStr">
        <is>
          <t>Gabarro</t>
        </is>
      </c>
      <c r="O17" s="205" t="n"/>
      <c r="P17" s="205" t="n"/>
      <c r="Q17" s="202" t="n"/>
      <c r="R17" s="205" t="n"/>
      <c r="S17" s="205" t="n"/>
      <c r="T17" s="202" t="n"/>
      <c r="U17" s="205" t="n"/>
      <c r="V17" s="205" t="n"/>
      <c r="W17" s="202" t="n"/>
      <c r="X17" s="202">
        <f>((D18/1000)*(E18/1000))*G18</f>
        <v/>
      </c>
    </row>
    <row r="18">
      <c r="A18" s="202" t="inlineStr">
        <is>
          <t>COSTE</t>
        </is>
      </c>
      <c r="B18" s="204" t="n">
        <v>20</v>
      </c>
      <c r="C18" s="202" t="inlineStr">
        <is>
          <t>tablero_aglomerado_aglomerado_1a_standard_16mm</t>
        </is>
      </c>
      <c r="D18" s="202" t="inlineStr">
        <is>
          <t>Tablero</t>
        </is>
      </c>
      <c r="E18" s="202" t="inlineStr">
        <is>
          <t>Aglomerado</t>
        </is>
      </c>
      <c r="F18" s="202" t="inlineStr">
        <is>
          <t>Aglomerado 1a standard 16mm</t>
        </is>
      </c>
      <c r="G18" s="204" t="n">
        <v>2800</v>
      </c>
      <c r="H18" s="204" t="n">
        <v>2070</v>
      </c>
      <c r="I18" s="204" t="n">
        <v>16</v>
      </c>
      <c r="J18" s="205" t="n">
        <v>3.78</v>
      </c>
      <c r="K18" s="205">
        <f>COMPARATIVA!G24</f>
        <v/>
      </c>
      <c r="L18" s="202" t="inlineStr">
        <is>
          <t>€/m2</t>
        </is>
      </c>
      <c r="M18" s="202" t="inlineStr">
        <is>
          <t>Closa</t>
        </is>
      </c>
      <c r="N18" s="202">
        <f>COMPARATIVA!I24</f>
        <v/>
      </c>
      <c r="O18" s="205" t="n">
        <v>0.58</v>
      </c>
      <c r="P18" s="205">
        <f>COMPARATIVA!J24</f>
        <v/>
      </c>
      <c r="Q18" s="202" t="inlineStr">
        <is>
          <t>Corte (+/-m2)</t>
        </is>
      </c>
      <c r="R18" s="205" t="n">
        <v>1.35</v>
      </c>
      <c r="S18" s="205">
        <f>COMPARATIVA!L24</f>
        <v/>
      </c>
      <c r="T18" s="202" t="inlineStr">
        <is>
          <t>Cadel</t>
        </is>
      </c>
      <c r="U18" s="205" t="n"/>
      <c r="V18" s="205" t="n"/>
      <c r="W18" s="202" t="n"/>
      <c r="X18" s="202">
        <f>((D20/1000)*(E20/1000))*G20</f>
        <v/>
      </c>
    </row>
    <row r="19">
      <c r="A19" s="202" t="inlineStr">
        <is>
          <t>COSTE</t>
        </is>
      </c>
      <c r="B19" s="204" t="n">
        <v>21</v>
      </c>
      <c r="C19" s="202" t="inlineStr">
        <is>
          <t>tablero_aglomerado_aglomerado_1a_standard_19mm</t>
        </is>
      </c>
      <c r="D19" s="202" t="inlineStr">
        <is>
          <t>Tablero</t>
        </is>
      </c>
      <c r="E19" s="202" t="inlineStr">
        <is>
          <t>Aglomerado</t>
        </is>
      </c>
      <c r="F19" s="202" t="inlineStr">
        <is>
          <t>Aglomerado 1a standard 19mm</t>
        </is>
      </c>
      <c r="G19" s="204" t="n">
        <v>2800</v>
      </c>
      <c r="H19" s="204" t="n">
        <v>2070</v>
      </c>
      <c r="I19" s="204" t="n">
        <v>19</v>
      </c>
      <c r="J19" s="205" t="n">
        <v>4.53</v>
      </c>
      <c r="K19" s="205">
        <f>COMPARATIVA!G35</f>
        <v/>
      </c>
      <c r="L19" s="202" t="inlineStr">
        <is>
          <t>€/m2</t>
        </is>
      </c>
      <c r="M19" s="202" t="inlineStr">
        <is>
          <t>Closa</t>
        </is>
      </c>
      <c r="N19" s="202">
        <f>COMPARATIVA!I35</f>
        <v/>
      </c>
      <c r="O19" s="205" t="n">
        <v>0.58</v>
      </c>
      <c r="P19" s="205">
        <f>COMPARATIVA!J35</f>
        <v/>
      </c>
      <c r="Q19" s="202" t="inlineStr">
        <is>
          <t>Corte (+/-m2)</t>
        </is>
      </c>
      <c r="R19" s="205" t="n">
        <v>1.35</v>
      </c>
      <c r="S19" s="205">
        <f>COMPARATIVA!L35</f>
        <v/>
      </c>
      <c r="T19" s="202" t="inlineStr">
        <is>
          <t>Cadel</t>
        </is>
      </c>
      <c r="U19" s="205" t="n"/>
      <c r="V19" s="205" t="n"/>
      <c r="W19" s="202" t="n"/>
      <c r="X19" s="202">
        <f>((D21/1000)*(E21/1000))*G21</f>
        <v/>
      </c>
    </row>
    <row r="20">
      <c r="A20" s="202" t="inlineStr">
        <is>
          <t>COSTE</t>
        </is>
      </c>
      <c r="B20" s="204" t="n">
        <v>23</v>
      </c>
      <c r="C20" s="202" t="inlineStr">
        <is>
          <t>tablero_mdf_tablex_blanco_5mm_zocalo</t>
        </is>
      </c>
      <c r="D20" s="202" t="inlineStr">
        <is>
          <t>Tablero</t>
        </is>
      </c>
      <c r="E20" s="202" t="inlineStr">
        <is>
          <t>MDF</t>
        </is>
      </c>
      <c r="F20" s="202" t="inlineStr">
        <is>
          <t>Tablex Blanco 5mm (Zocalo)</t>
        </is>
      </c>
      <c r="G20" s="204" t="n">
        <v>2440</v>
      </c>
      <c r="H20" s="204" t="n">
        <v>1220</v>
      </c>
      <c r="I20" s="204" t="n">
        <v>5</v>
      </c>
      <c r="J20" s="205" t="n">
        <v>5.07</v>
      </c>
      <c r="K20" s="205">
        <f>COMPARATIVA!G37</f>
        <v/>
      </c>
      <c r="L20" s="202" t="inlineStr">
        <is>
          <t>€/m2</t>
        </is>
      </c>
      <c r="M20" s="202" t="inlineStr">
        <is>
          <t>Closa</t>
        </is>
      </c>
      <c r="N20" s="202">
        <f>COMPARATIVA!I37</f>
        <v/>
      </c>
      <c r="O20" s="205" t="n">
        <v>0.58</v>
      </c>
      <c r="P20" s="205">
        <f>COMPARATIVA!J37</f>
        <v/>
      </c>
      <c r="Q20" s="202" t="inlineStr">
        <is>
          <t>Corte (+/-m2)</t>
        </is>
      </c>
      <c r="R20" s="205" t="n"/>
      <c r="S20" s="205" t="n"/>
      <c r="T20" s="202" t="n"/>
      <c r="U20" s="205" t="n"/>
      <c r="V20" s="205" t="n"/>
      <c r="W20" s="202" t="n"/>
      <c r="X20" s="202">
        <f>((D23/1000)*(E23/1000))*G23</f>
        <v/>
      </c>
    </row>
    <row r="21">
      <c r="A21" s="202" t="inlineStr">
        <is>
          <t>COSTE</t>
        </is>
      </c>
      <c r="B21" s="204" t="n">
        <v>24</v>
      </c>
      <c r="C21" s="202" t="inlineStr">
        <is>
          <t>tablero_mdf_tablex_negro_5mm_zocalo</t>
        </is>
      </c>
      <c r="D21" s="202" t="inlineStr">
        <is>
          <t>Tablero</t>
        </is>
      </c>
      <c r="E21" s="202" t="inlineStr">
        <is>
          <t>MDF</t>
        </is>
      </c>
      <c r="F21" s="202" t="inlineStr">
        <is>
          <t>Tablex Negro 5mm (Zocalo)</t>
        </is>
      </c>
      <c r="G21" s="204" t="n">
        <v>2440</v>
      </c>
      <c r="H21" s="204" t="n">
        <v>1220</v>
      </c>
      <c r="I21" s="204" t="n">
        <v>5</v>
      </c>
      <c r="J21" s="205" t="n">
        <v>7</v>
      </c>
      <c r="K21" s="205">
        <f>COMPARATIVA!G39</f>
        <v/>
      </c>
      <c r="L21" s="202" t="inlineStr">
        <is>
          <t>€/m2</t>
        </is>
      </c>
      <c r="M21" s="202" t="inlineStr">
        <is>
          <t>Closa</t>
        </is>
      </c>
      <c r="N21" s="202">
        <f>COMPARATIVA!I39</f>
        <v/>
      </c>
      <c r="O21" s="205" t="n">
        <v>0.58</v>
      </c>
      <c r="P21" s="205">
        <f>COMPARATIVA!J39</f>
        <v/>
      </c>
      <c r="Q21" s="202" t="inlineStr">
        <is>
          <t>Corte (+/-m2)</t>
        </is>
      </c>
      <c r="R21" s="205" t="n"/>
      <c r="S21" s="205" t="n"/>
      <c r="T21" s="202" t="n"/>
      <c r="U21" s="205" t="n"/>
      <c r="V21" s="205" t="n"/>
      <c r="W21" s="202" t="n"/>
      <c r="X21" s="202">
        <f>((D24/1000)*(E24/1000))*G24</f>
        <v/>
      </c>
    </row>
    <row r="22">
      <c r="A22" s="202" t="inlineStr">
        <is>
          <t>COSTE</t>
        </is>
      </c>
      <c r="B22" s="204" t="n">
        <v>25</v>
      </c>
      <c r="C22" s="202" t="inlineStr">
        <is>
          <t>tablero_mdf_mdf_standard_3_mm</t>
        </is>
      </c>
      <c r="D22" s="202" t="inlineStr">
        <is>
          <t>Tablero</t>
        </is>
      </c>
      <c r="E22" s="202" t="inlineStr">
        <is>
          <t>MDF</t>
        </is>
      </c>
      <c r="F22" s="202" t="inlineStr">
        <is>
          <t>MDF Standard 3 mm</t>
        </is>
      </c>
      <c r="G22" s="204" t="n">
        <v>2440</v>
      </c>
      <c r="H22" s="204" t="n">
        <v>1220</v>
      </c>
      <c r="I22" s="204" t="n">
        <v>3</v>
      </c>
      <c r="J22" s="205" t="n">
        <v>3</v>
      </c>
      <c r="K22" s="205">
        <f>COMPARATIVA!G41</f>
        <v/>
      </c>
      <c r="L22" s="202" t="inlineStr">
        <is>
          <t>€/m2</t>
        </is>
      </c>
      <c r="M22" s="202" t="inlineStr">
        <is>
          <t>Closa</t>
        </is>
      </c>
      <c r="N22" s="202">
        <f>COMPARATIVA!I41</f>
        <v/>
      </c>
      <c r="O22" s="205" t="n">
        <v>0.58</v>
      </c>
      <c r="P22" s="205">
        <f>COMPARATIVA!J41</f>
        <v/>
      </c>
      <c r="Q22" s="202" t="inlineStr">
        <is>
          <t>Corte (+/-m2)</t>
        </is>
      </c>
      <c r="R22" s="205" t="n"/>
      <c r="S22" s="205" t="n"/>
      <c r="T22" s="202" t="n"/>
      <c r="U22" s="205" t="n"/>
      <c r="V22" s="205" t="n"/>
      <c r="W22" s="202" t="n"/>
      <c r="X22" s="202">
        <f>((D25/1000)*(E25/1000))*G25</f>
        <v/>
      </c>
    </row>
    <row r="23">
      <c r="A23" s="202" t="inlineStr">
        <is>
          <t>COSTE</t>
        </is>
      </c>
      <c r="B23" s="204" t="n">
        <v>26</v>
      </c>
      <c r="C23" s="202" t="inlineStr">
        <is>
          <t>tablero_mdf_mdf_standard_5_mm</t>
        </is>
      </c>
      <c r="D23" s="202" t="inlineStr">
        <is>
          <t>Tablero</t>
        </is>
      </c>
      <c r="E23" s="202" t="inlineStr">
        <is>
          <t>MDF</t>
        </is>
      </c>
      <c r="F23" s="202" t="inlineStr">
        <is>
          <t>MDF Standard 5 mm</t>
        </is>
      </c>
      <c r="G23" s="204" t="n">
        <v>2440</v>
      </c>
      <c r="H23" s="204" t="n">
        <v>1220</v>
      </c>
      <c r="I23" s="204" t="n">
        <v>5</v>
      </c>
      <c r="J23" s="205" t="n">
        <v>2.4</v>
      </c>
      <c r="K23" s="205">
        <f>COMPARATIVA!G42</f>
        <v/>
      </c>
      <c r="L23" s="202" t="inlineStr">
        <is>
          <t>€/m2</t>
        </is>
      </c>
      <c r="M23" s="202" t="inlineStr">
        <is>
          <t>Closa</t>
        </is>
      </c>
      <c r="N23" s="202">
        <f>COMPARATIVA!I42</f>
        <v/>
      </c>
      <c r="O23" s="205" t="n">
        <v>0.58</v>
      </c>
      <c r="P23" s="205">
        <f>COMPARATIVA!J42</f>
        <v/>
      </c>
      <c r="Q23" s="202" t="inlineStr">
        <is>
          <t>Corte (+/-m2)</t>
        </is>
      </c>
      <c r="R23" s="205" t="n"/>
      <c r="S23" s="205" t="n"/>
      <c r="T23" s="202" t="n"/>
      <c r="U23" s="205" t="n"/>
      <c r="V23" s="205" t="n"/>
      <c r="W23" s="202" t="n"/>
      <c r="X23" s="202">
        <f>((D26/1000)*(E26/1000))*G26</f>
        <v/>
      </c>
    </row>
    <row r="24">
      <c r="A24" s="202" t="inlineStr">
        <is>
          <t>COSTE</t>
        </is>
      </c>
      <c r="B24" s="204" t="n">
        <v>27</v>
      </c>
      <c r="C24" s="202" t="inlineStr">
        <is>
          <t>tablero_mdf_mdf_standard_16_mm</t>
        </is>
      </c>
      <c r="D24" s="202" t="inlineStr">
        <is>
          <t>Tablero</t>
        </is>
      </c>
      <c r="E24" s="202" t="inlineStr">
        <is>
          <t>MDF</t>
        </is>
      </c>
      <c r="F24" s="202" t="inlineStr">
        <is>
          <t>MDF Standard 16 mm</t>
        </is>
      </c>
      <c r="G24" s="204" t="n">
        <v>3660</v>
      </c>
      <c r="H24" s="204" t="n">
        <v>2070</v>
      </c>
      <c r="I24" s="204" t="n">
        <v>16</v>
      </c>
      <c r="J24" s="205" t="n">
        <v>6.36</v>
      </c>
      <c r="K24" s="205">
        <f>COMPARATIVA!G46</f>
        <v/>
      </c>
      <c r="L24" s="202" t="inlineStr">
        <is>
          <t>€/m2</t>
        </is>
      </c>
      <c r="M24" s="202" t="inlineStr">
        <is>
          <t>Closa</t>
        </is>
      </c>
      <c r="N24" s="202">
        <f>COMPARATIVA!I46</f>
        <v/>
      </c>
      <c r="O24" s="205" t="n">
        <v>0.58</v>
      </c>
      <c r="P24" s="205">
        <f>COMPARATIVA!J46</f>
        <v/>
      </c>
      <c r="Q24" s="202" t="inlineStr">
        <is>
          <t>Corte (+/-m2)</t>
        </is>
      </c>
      <c r="R24" s="205" t="n">
        <v>1.35</v>
      </c>
      <c r="S24" s="205">
        <f>COMPARATIVA!L46</f>
        <v/>
      </c>
      <c r="T24" s="202" t="inlineStr">
        <is>
          <t>Cadel</t>
        </is>
      </c>
      <c r="U24" s="205" t="n"/>
      <c r="V24" s="205" t="n"/>
      <c r="W24" s="202" t="n"/>
      <c r="X24" s="202">
        <f>((D27/1000)*(E27/1000))*G27</f>
        <v/>
      </c>
    </row>
    <row r="25">
      <c r="A25" s="202" t="inlineStr">
        <is>
          <t>COSTE</t>
        </is>
      </c>
      <c r="B25" s="204" t="n">
        <v>28</v>
      </c>
      <c r="C25" s="202" t="inlineStr">
        <is>
          <t>tablero_mdf_mdf_standard_19_mm</t>
        </is>
      </c>
      <c r="D25" s="202" t="inlineStr">
        <is>
          <t>Tablero</t>
        </is>
      </c>
      <c r="E25" s="202" t="inlineStr">
        <is>
          <t>MDF</t>
        </is>
      </c>
      <c r="F25" s="202" t="inlineStr">
        <is>
          <t>MDF Standard 19 mm</t>
        </is>
      </c>
      <c r="G25" s="204" t="n">
        <v>3660</v>
      </c>
      <c r="H25" s="204" t="n">
        <v>2070</v>
      </c>
      <c r="I25" s="204" t="n">
        <v>19</v>
      </c>
      <c r="J25" s="205" t="n">
        <v>7.58</v>
      </c>
      <c r="K25" s="205">
        <f>COMPARATIVA!G51</f>
        <v/>
      </c>
      <c r="L25" s="202" t="inlineStr">
        <is>
          <t>€/m2</t>
        </is>
      </c>
      <c r="M25" s="202" t="inlineStr">
        <is>
          <t>Closa</t>
        </is>
      </c>
      <c r="N25" s="202">
        <f>COMPARATIVA!I51</f>
        <v/>
      </c>
      <c r="O25" s="205" t="n">
        <v>0.58</v>
      </c>
      <c r="P25" s="205">
        <f>COMPARATIVA!J51</f>
        <v/>
      </c>
      <c r="Q25" s="202" t="inlineStr">
        <is>
          <t>Corte (+/-m2)</t>
        </is>
      </c>
      <c r="R25" s="205" t="n">
        <v>1.35</v>
      </c>
      <c r="S25" s="205">
        <f>COMPARATIVA!L51</f>
        <v/>
      </c>
      <c r="T25" s="202" t="inlineStr">
        <is>
          <t>Cadel</t>
        </is>
      </c>
      <c r="U25" s="205" t="n"/>
      <c r="V25" s="205" t="n"/>
      <c r="W25" s="202" t="n"/>
      <c r="X25" s="202">
        <f>((D28/1000)*(E28/1000))*G28</f>
        <v/>
      </c>
    </row>
    <row r="26">
      <c r="A26" s="202" t="inlineStr">
        <is>
          <t>COSTE</t>
        </is>
      </c>
      <c r="B26" s="204" t="n">
        <v>30</v>
      </c>
      <c r="C26" s="202" t="inlineStr">
        <is>
          <t>tablero_chopo_bb_bb</t>
        </is>
      </c>
      <c r="D26" s="202" t="inlineStr">
        <is>
          <t>Tablero</t>
        </is>
      </c>
      <c r="E26" s="202" t="inlineStr">
        <is>
          <t>Chopo</t>
        </is>
      </c>
      <c r="F26" s="202" t="inlineStr">
        <is>
          <t>BB/BB</t>
        </is>
      </c>
      <c r="G26" s="204" t="n">
        <v>2500</v>
      </c>
      <c r="H26" s="204" t="n">
        <v>1220</v>
      </c>
      <c r="I26" s="204" t="n">
        <v>5</v>
      </c>
      <c r="J26" s="205" t="n">
        <v>5.77</v>
      </c>
      <c r="K26" s="205">
        <f>COMPARATIVA!G57</f>
        <v/>
      </c>
      <c r="L26" s="202" t="inlineStr">
        <is>
          <t>€/m2</t>
        </is>
      </c>
      <c r="M26" s="202" t="inlineStr">
        <is>
          <t>Closa</t>
        </is>
      </c>
      <c r="N26" s="202">
        <f>COMPARATIVA!I57</f>
        <v/>
      </c>
      <c r="O26" s="205" t="n"/>
      <c r="P26" s="205" t="n"/>
      <c r="Q26" s="202" t="n"/>
      <c r="R26" s="205" t="n"/>
      <c r="S26" s="205" t="n"/>
      <c r="T26" s="202" t="n"/>
      <c r="U26" s="205" t="n"/>
      <c r="V26" s="205" t="n"/>
      <c r="W26" s="202" t="n"/>
      <c r="X26" s="202">
        <f>((D30/1000)*(E30/1000))*G30</f>
        <v/>
      </c>
    </row>
    <row r="27">
      <c r="A27" s="202" t="inlineStr">
        <is>
          <t>COSTE</t>
        </is>
      </c>
      <c r="B27" s="204" t="n">
        <v>31</v>
      </c>
      <c r="C27" s="202" t="inlineStr">
        <is>
          <t>tablero_chopo_felx_tablero_fromager_flexible_5_mm_mostrador</t>
        </is>
      </c>
      <c r="D27" s="202" t="inlineStr">
        <is>
          <t>Tablero</t>
        </is>
      </c>
      <c r="E27" s="202" t="inlineStr">
        <is>
          <t>Chopo Felx.</t>
        </is>
      </c>
      <c r="F27" s="202" t="inlineStr">
        <is>
          <t>Tablero Fromager flexible 5 mm  (mostrador)</t>
        </is>
      </c>
      <c r="G27" s="204" t="n">
        <v>1220</v>
      </c>
      <c r="H27" s="204" t="n">
        <v>2500</v>
      </c>
      <c r="I27" s="204" t="n">
        <v>5</v>
      </c>
      <c r="J27" s="205" t="n">
        <v>8.18</v>
      </c>
      <c r="K27" s="205">
        <f>COMPARATIVA!G62</f>
        <v/>
      </c>
      <c r="L27" s="202" t="inlineStr">
        <is>
          <t>€/m2</t>
        </is>
      </c>
      <c r="M27" s="202" t="inlineStr">
        <is>
          <t>Closa</t>
        </is>
      </c>
      <c r="N27" s="202">
        <f>COMPARATIVA!I62</f>
        <v/>
      </c>
      <c r="O27" s="205" t="n"/>
      <c r="P27" s="205" t="n"/>
      <c r="Q27" s="202" t="n"/>
      <c r="R27" s="205" t="n"/>
      <c r="S27" s="205" t="n"/>
      <c r="T27" s="202" t="n"/>
      <c r="U27" s="205" t="n"/>
      <c r="V27" s="205" t="n"/>
      <c r="W27" s="202" t="n"/>
      <c r="X27" s="202">
        <f>((D31/1000)*(E31/1000))*G31</f>
        <v/>
      </c>
    </row>
    <row r="28">
      <c r="A28" s="202" t="inlineStr">
        <is>
          <t>COSTE</t>
        </is>
      </c>
      <c r="B28" s="204" t="n">
        <v>32</v>
      </c>
      <c r="C28" s="202" t="inlineStr">
        <is>
          <t>tablero_chopo_felx_tablero_fromager_flexible_5_mm_columna</t>
        </is>
      </c>
      <c r="D28" s="202" t="inlineStr">
        <is>
          <t>Tablero</t>
        </is>
      </c>
      <c r="E28" s="202" t="inlineStr">
        <is>
          <t>Chopo Felx.</t>
        </is>
      </c>
      <c r="F28" s="202" t="inlineStr">
        <is>
          <t>Tablero Fromager flexible 5 mm  (Columna)</t>
        </is>
      </c>
      <c r="G28" s="204" t="n">
        <v>1220</v>
      </c>
      <c r="H28" s="204" t="n">
        <v>2500</v>
      </c>
      <c r="I28" s="204" t="n">
        <v>5</v>
      </c>
      <c r="J28" s="205" t="n">
        <v>8.18</v>
      </c>
      <c r="K28" s="205">
        <f>COMPARATIVA!G66</f>
        <v/>
      </c>
      <c r="L28" s="202" t="inlineStr">
        <is>
          <t>€/m2</t>
        </is>
      </c>
      <c r="M28" s="202" t="inlineStr">
        <is>
          <t>Closa</t>
        </is>
      </c>
      <c r="N28" s="202">
        <f>COMPARATIVA!I66</f>
        <v/>
      </c>
      <c r="O28" s="205" t="n"/>
      <c r="P28" s="205" t="n"/>
      <c r="Q28" s="202" t="n"/>
      <c r="R28" s="205" t="n"/>
      <c r="S28" s="205" t="n"/>
      <c r="T28" s="202" t="n"/>
      <c r="U28" s="205" t="n"/>
      <c r="V28" s="205" t="n"/>
      <c r="W28" s="202" t="n"/>
      <c r="X28" s="202">
        <f>((D32/1000)*(E32/1000))*G32</f>
        <v/>
      </c>
    </row>
    <row r="29">
      <c r="A29" s="202" t="inlineStr">
        <is>
          <t>COSTE</t>
        </is>
      </c>
      <c r="B29" s="204" t="n">
        <v>33</v>
      </c>
      <c r="C29" s="202" t="inlineStr">
        <is>
          <t>tablero_chopo_bb_bb</t>
        </is>
      </c>
      <c r="D29" s="202" t="inlineStr">
        <is>
          <t>Tablero</t>
        </is>
      </c>
      <c r="E29" s="202" t="inlineStr">
        <is>
          <t>Chopo</t>
        </is>
      </c>
      <c r="F29" s="202" t="inlineStr">
        <is>
          <t>BB/BB</t>
        </is>
      </c>
      <c r="G29" s="204" t="n">
        <v>2500</v>
      </c>
      <c r="H29" s="204" t="n">
        <v>1220</v>
      </c>
      <c r="I29" s="204" t="n">
        <v>10</v>
      </c>
      <c r="J29" s="205" t="n">
        <v>9.460000000000001</v>
      </c>
      <c r="K29" s="205">
        <f>COMPARATIVA!G69</f>
        <v/>
      </c>
      <c r="L29" s="202" t="inlineStr">
        <is>
          <t>€/m2</t>
        </is>
      </c>
      <c r="M29" s="202" t="inlineStr">
        <is>
          <t>Closa</t>
        </is>
      </c>
      <c r="N29" s="202">
        <f>COMPARATIVA!I69</f>
        <v/>
      </c>
      <c r="O29" s="205" t="n"/>
      <c r="P29" s="205" t="n"/>
      <c r="Q29" s="202" t="n"/>
      <c r="R29" s="205" t="n"/>
      <c r="S29" s="205" t="n"/>
      <c r="T29" s="202" t="n"/>
      <c r="U29" s="205" t="n"/>
      <c r="V29" s="205" t="n"/>
      <c r="W29" s="202" t="n"/>
      <c r="X29" s="202">
        <f>((D33/1000)*(E33/1000))*G33</f>
        <v/>
      </c>
    </row>
    <row r="30">
      <c r="A30" s="202" t="inlineStr">
        <is>
          <t>COSTE</t>
        </is>
      </c>
      <c r="B30" s="204" t="n">
        <v>34</v>
      </c>
      <c r="C30" s="202" t="inlineStr">
        <is>
          <t>tablero_chopo_bb_bb</t>
        </is>
      </c>
      <c r="D30" s="202" t="inlineStr">
        <is>
          <t>Tablero</t>
        </is>
      </c>
      <c r="E30" s="202" t="inlineStr">
        <is>
          <t>Chopo</t>
        </is>
      </c>
      <c r="F30" s="202" t="inlineStr">
        <is>
          <t>BB/BB</t>
        </is>
      </c>
      <c r="G30" s="204" t="n">
        <v>2500</v>
      </c>
      <c r="H30" s="204" t="n">
        <v>1220</v>
      </c>
      <c r="I30" s="204" t="n">
        <v>15</v>
      </c>
      <c r="J30" s="205" t="n">
        <v>13.25</v>
      </c>
      <c r="K30" s="205">
        <f>COMPARATIVA!G70</f>
        <v/>
      </c>
      <c r="L30" s="202" t="inlineStr">
        <is>
          <t>€/m2</t>
        </is>
      </c>
      <c r="M30" s="202" t="inlineStr">
        <is>
          <t>Closa</t>
        </is>
      </c>
      <c r="N30" s="202">
        <f>COMPARATIVA!I70</f>
        <v/>
      </c>
      <c r="O30" s="205" t="n"/>
      <c r="P30" s="205" t="n"/>
      <c r="Q30" s="202" t="n"/>
      <c r="R30" s="205" t="n"/>
      <c r="S30" s="205" t="n"/>
      <c r="T30" s="202" t="n"/>
      <c r="U30" s="205" t="n"/>
      <c r="V30" s="205" t="n"/>
      <c r="W30" s="202" t="n"/>
      <c r="X30" s="202">
        <f>((D34/1000)*(E34/1000))*G34</f>
        <v/>
      </c>
    </row>
    <row r="31">
      <c r="A31" s="202" t="inlineStr">
        <is>
          <t>COSTE</t>
        </is>
      </c>
      <c r="B31" s="204" t="n">
        <v>36</v>
      </c>
      <c r="C31" s="202" t="inlineStr">
        <is>
          <t>tablero_osb_tablero_osb_3_xop</t>
        </is>
      </c>
      <c r="D31" s="202" t="inlineStr">
        <is>
          <t>Tablero</t>
        </is>
      </c>
      <c r="E31" s="202" t="inlineStr">
        <is>
          <t>OSB</t>
        </is>
      </c>
      <c r="F31" s="202" t="inlineStr">
        <is>
          <t xml:space="preserve">Tablero OSB 3 XOP </t>
        </is>
      </c>
      <c r="G31" s="204" t="n">
        <v>2500</v>
      </c>
      <c r="H31" s="204" t="n">
        <v>1250</v>
      </c>
      <c r="I31" s="204" t="n">
        <v>9</v>
      </c>
      <c r="J31" s="205" t="n">
        <v>4.16</v>
      </c>
      <c r="K31" s="205">
        <f>COMPARATIVA!G75</f>
        <v/>
      </c>
      <c r="L31" s="202" t="inlineStr">
        <is>
          <t>€/m2</t>
        </is>
      </c>
      <c r="M31" s="202" t="inlineStr">
        <is>
          <t>Closa</t>
        </is>
      </c>
      <c r="N31" s="202">
        <f>COMPARATIVA!I75</f>
        <v/>
      </c>
      <c r="O31" s="205" t="n"/>
      <c r="P31" s="205" t="n"/>
      <c r="Q31" s="202" t="n"/>
      <c r="R31" s="205" t="n"/>
      <c r="S31" s="205" t="n"/>
      <c r="T31" s="202" t="n"/>
      <c r="U31" s="205" t="n"/>
      <c r="V31" s="205" t="n"/>
      <c r="W31" s="202" t="n"/>
      <c r="X31" s="202" t="n"/>
    </row>
    <row r="32">
      <c r="A32" s="202" t="inlineStr">
        <is>
          <t>COSTE</t>
        </is>
      </c>
      <c r="B32" s="204" t="n">
        <v>37</v>
      </c>
      <c r="C32" s="202" t="inlineStr">
        <is>
          <t>tablero_osb_tablero_osb_3_xop</t>
        </is>
      </c>
      <c r="D32" s="202" t="inlineStr">
        <is>
          <t>Tablero</t>
        </is>
      </c>
      <c r="E32" s="202" t="inlineStr">
        <is>
          <t>OSB</t>
        </is>
      </c>
      <c r="F32" s="202" t="inlineStr">
        <is>
          <t xml:space="preserve">Tablero OSB 3 XOP </t>
        </is>
      </c>
      <c r="G32" s="204" t="n">
        <v>2500</v>
      </c>
      <c r="H32" s="204" t="n">
        <v>1250</v>
      </c>
      <c r="I32" s="204" t="n">
        <v>15</v>
      </c>
      <c r="J32" s="205" t="n">
        <v>6.18</v>
      </c>
      <c r="K32" s="205">
        <f>COMPARATIVA!G76</f>
        <v/>
      </c>
      <c r="L32" s="202" t="inlineStr">
        <is>
          <t>€/m2</t>
        </is>
      </c>
      <c r="M32" s="202" t="inlineStr">
        <is>
          <t>Closa</t>
        </is>
      </c>
      <c r="N32" s="202">
        <f>COMPARATIVA!I76</f>
        <v/>
      </c>
      <c r="O32" s="205" t="n"/>
      <c r="P32" s="205" t="n"/>
      <c r="Q32" s="202" t="n"/>
      <c r="R32" s="205" t="n"/>
      <c r="S32" s="205" t="n"/>
      <c r="T32" s="202" t="n"/>
      <c r="U32" s="205" t="n"/>
      <c r="V32" s="205" t="n"/>
      <c r="W32" s="202" t="n"/>
      <c r="X32" s="202" t="n"/>
    </row>
    <row r="33">
      <c r="A33" s="202" t="inlineStr">
        <is>
          <t>COSTE</t>
        </is>
      </c>
      <c r="B33" s="204" t="n">
        <v>38</v>
      </c>
      <c r="C33" s="202" t="inlineStr">
        <is>
          <t>tablero_osb_tablero_osb_3_xop</t>
        </is>
      </c>
      <c r="D33" s="202" t="inlineStr">
        <is>
          <t>Tablero</t>
        </is>
      </c>
      <c r="E33" s="202" t="inlineStr">
        <is>
          <t>OSB</t>
        </is>
      </c>
      <c r="F33" s="202" t="inlineStr">
        <is>
          <t xml:space="preserve">Tablero OSB 3 XOP </t>
        </is>
      </c>
      <c r="G33" s="204" t="n">
        <v>2500</v>
      </c>
      <c r="H33" s="204" t="n">
        <v>1250</v>
      </c>
      <c r="I33" s="204" t="n">
        <v>18</v>
      </c>
      <c r="J33" s="205" t="n">
        <v>7.88</v>
      </c>
      <c r="K33" s="205">
        <f>COMPARATIVA!G77</f>
        <v/>
      </c>
      <c r="L33" s="202" t="inlineStr">
        <is>
          <t>€/m2</t>
        </is>
      </c>
      <c r="M33" s="202" t="inlineStr">
        <is>
          <t>Closa</t>
        </is>
      </c>
      <c r="N33" s="202">
        <f>COMPARATIVA!I77</f>
        <v/>
      </c>
      <c r="O33" s="205" t="n"/>
      <c r="P33" s="205" t="n"/>
      <c r="Q33" s="202" t="n"/>
      <c r="R33" s="205" t="n"/>
      <c r="S33" s="205" t="n"/>
      <c r="T33" s="202" t="n"/>
      <c r="U33" s="205" t="n"/>
      <c r="V33" s="205" t="n"/>
      <c r="W33" s="202" t="n"/>
      <c r="X33" s="202" t="n"/>
    </row>
    <row r="34">
      <c r="A34" s="202" t="inlineStr">
        <is>
          <t>COSTE</t>
        </is>
      </c>
      <c r="B34" s="204" t="n">
        <v>39</v>
      </c>
      <c r="C34" s="202" t="inlineStr">
        <is>
          <t>tablero_osb_tablero_osb_3_xop</t>
        </is>
      </c>
      <c r="D34" s="202" t="inlineStr">
        <is>
          <t>Tablero</t>
        </is>
      </c>
      <c r="E34" s="202" t="inlineStr">
        <is>
          <t>OSB</t>
        </is>
      </c>
      <c r="F34" s="202" t="inlineStr">
        <is>
          <t xml:space="preserve">Tablero OSB 3 XOP </t>
        </is>
      </c>
      <c r="G34" s="204" t="n">
        <v>2500</v>
      </c>
      <c r="H34" s="204" t="n">
        <v>1250</v>
      </c>
      <c r="I34" s="204" t="n">
        <v>22</v>
      </c>
      <c r="J34" s="205" t="n">
        <v>9.859999999999999</v>
      </c>
      <c r="K34" s="205">
        <f>COMPARATIVA!G78</f>
        <v/>
      </c>
      <c r="L34" s="202" t="inlineStr">
        <is>
          <t>€/m2</t>
        </is>
      </c>
      <c r="M34" s="202" t="inlineStr">
        <is>
          <t>Closa</t>
        </is>
      </c>
      <c r="N34" s="202">
        <f>COMPARATIVA!I78</f>
        <v/>
      </c>
      <c r="O34" s="205" t="n"/>
      <c r="P34" s="205" t="n"/>
      <c r="Q34" s="202" t="n"/>
      <c r="R34" s="205" t="n"/>
      <c r="S34" s="205" t="n"/>
      <c r="T34" s="202" t="n"/>
      <c r="U34" s="205" t="n"/>
      <c r="V34" s="205" t="n"/>
      <c r="W34" s="202" t="n"/>
      <c r="X34" s="202" t="n"/>
    </row>
    <row r="35">
      <c r="A35" s="202" t="inlineStr">
        <is>
          <t>COSTE</t>
        </is>
      </c>
      <c r="B35" s="204" t="n">
        <v>41</v>
      </c>
      <c r="C35" s="202" t="inlineStr">
        <is>
          <t>liston_pino_liston_flandes_45_21</t>
        </is>
      </c>
      <c r="D35" s="202" t="inlineStr">
        <is>
          <t>Liston</t>
        </is>
      </c>
      <c r="E35" s="202" t="inlineStr">
        <is>
          <t>Pino</t>
        </is>
      </c>
      <c r="F35" s="202" t="inlineStr">
        <is>
          <t>Liston Flandes  45*21</t>
        </is>
      </c>
      <c r="G35" s="204" t="n">
        <v>4500</v>
      </c>
      <c r="H35" s="204" t="n">
        <v>45</v>
      </c>
      <c r="I35" s="204" t="n">
        <v>21</v>
      </c>
      <c r="J35" s="205" t="n">
        <v>0.66</v>
      </c>
      <c r="K35" s="205">
        <f>COMPARATIVA!G80</f>
        <v/>
      </c>
      <c r="L35" s="202" t="inlineStr">
        <is>
          <t>€/ml</t>
        </is>
      </c>
      <c r="M35" s="202" t="inlineStr">
        <is>
          <t>Forestal Vic</t>
        </is>
      </c>
      <c r="N35" s="202" t="inlineStr">
        <is>
          <t>Forestal Vic</t>
        </is>
      </c>
      <c r="O35" s="205" t="n"/>
      <c r="P35" s="205" t="n"/>
      <c r="Q35" s="202" t="n"/>
      <c r="R35" s="205" t="n"/>
      <c r="S35" s="205" t="n"/>
      <c r="T35" s="202" t="n"/>
      <c r="U35" s="205" t="n"/>
      <c r="V35" s="205" t="n"/>
      <c r="W35" s="202" t="n"/>
      <c r="X35" s="202" t="n"/>
    </row>
    <row r="36">
      <c r="A36" s="202" t="inlineStr">
        <is>
          <t>COSTE</t>
        </is>
      </c>
      <c r="B36" s="204" t="n">
        <v>42</v>
      </c>
      <c r="C36" s="202" t="inlineStr">
        <is>
          <t>liston_pino_liston_flandes_45_45</t>
        </is>
      </c>
      <c r="D36" s="202" t="inlineStr">
        <is>
          <t>Liston</t>
        </is>
      </c>
      <c r="E36" s="202" t="inlineStr">
        <is>
          <t>Pino</t>
        </is>
      </c>
      <c r="F36" s="202" t="inlineStr">
        <is>
          <t>Liston Flandes  45*45</t>
        </is>
      </c>
      <c r="G36" s="204" t="n">
        <v>4500</v>
      </c>
      <c r="H36" s="204" t="n">
        <v>45</v>
      </c>
      <c r="I36" s="204" t="n">
        <v>45</v>
      </c>
      <c r="J36" s="205" t="n">
        <v>1.33</v>
      </c>
      <c r="K36" s="205">
        <f>COMPARATIVA!G84</f>
        <v/>
      </c>
      <c r="L36" s="202" t="inlineStr">
        <is>
          <t>€/ml</t>
        </is>
      </c>
      <c r="M36" s="202" t="inlineStr">
        <is>
          <t>Forestal Vic</t>
        </is>
      </c>
      <c r="N36" s="202" t="inlineStr">
        <is>
          <t>Forestal Vic</t>
        </is>
      </c>
      <c r="O36" s="205" t="n"/>
      <c r="P36" s="205" t="n"/>
      <c r="Q36" s="202" t="n"/>
      <c r="R36" s="205" t="n"/>
      <c r="S36" s="205" t="n"/>
      <c r="T36" s="202" t="n"/>
      <c r="U36" s="205" t="n"/>
      <c r="V36" s="205" t="n"/>
      <c r="W36" s="202" t="n"/>
      <c r="X36" s="202" t="n"/>
    </row>
    <row r="37">
      <c r="A37" s="202" t="inlineStr">
        <is>
          <t>COSTE</t>
        </is>
      </c>
      <c r="B37" s="204" t="n">
        <v>43</v>
      </c>
      <c r="C37" s="202" t="inlineStr">
        <is>
          <t>liston_pino_liston_flandes_45_70</t>
        </is>
      </c>
      <c r="D37" s="202" t="inlineStr">
        <is>
          <t>Liston</t>
        </is>
      </c>
      <c r="E37" s="202" t="inlineStr">
        <is>
          <t>Pino</t>
        </is>
      </c>
      <c r="F37" s="202" t="inlineStr">
        <is>
          <t>Liston Flandes  45*70</t>
        </is>
      </c>
      <c r="G37" s="204" t="n">
        <v>4500</v>
      </c>
      <c r="H37" s="204" t="n">
        <v>45</v>
      </c>
      <c r="I37" s="204" t="n">
        <v>70</v>
      </c>
      <c r="J37" s="205" t="n">
        <v>1.99</v>
      </c>
      <c r="K37" s="205">
        <f>COMPARATIVA!G87</f>
        <v/>
      </c>
      <c r="L37" s="202" t="inlineStr">
        <is>
          <t>€/ml</t>
        </is>
      </c>
      <c r="M37" s="202" t="inlineStr">
        <is>
          <t>Forestal Vic</t>
        </is>
      </c>
      <c r="N37" s="202" t="inlineStr">
        <is>
          <t>Forestal Vic</t>
        </is>
      </c>
      <c r="O37" s="205" t="n"/>
      <c r="P37" s="205" t="n"/>
      <c r="Q37" s="202" t="n"/>
      <c r="R37" s="205" t="n"/>
      <c r="S37" s="205" t="n"/>
      <c r="T37" s="202" t="n"/>
      <c r="U37" s="205" t="n"/>
      <c r="V37" s="205" t="n"/>
      <c r="W37" s="202" t="n"/>
      <c r="X37" s="202" t="n"/>
    </row>
    <row r="38">
      <c r="A38" s="202" t="inlineStr">
        <is>
          <t>COSTE</t>
        </is>
      </c>
      <c r="B38" s="204" t="n">
        <v>44</v>
      </c>
      <c r="C38" s="202" t="inlineStr">
        <is>
          <t>liston_pino_liston_flandes_20_90</t>
        </is>
      </c>
      <c r="D38" s="202" t="inlineStr">
        <is>
          <t>Liston</t>
        </is>
      </c>
      <c r="E38" s="202" t="inlineStr">
        <is>
          <t>Pino</t>
        </is>
      </c>
      <c r="F38" s="202" t="inlineStr">
        <is>
          <t>Liston Flandes  20*90</t>
        </is>
      </c>
      <c r="G38" s="204" t="n">
        <v>4200</v>
      </c>
      <c r="H38" s="204" t="n">
        <v>20</v>
      </c>
      <c r="I38" s="204" t="n">
        <v>90</v>
      </c>
      <c r="J38" s="205" t="n">
        <v>1.95</v>
      </c>
      <c r="K38" s="205">
        <f>COMPARATIVA!G90</f>
        <v/>
      </c>
      <c r="L38" s="202" t="inlineStr">
        <is>
          <t>€/ml</t>
        </is>
      </c>
      <c r="M38" s="202" t="inlineStr">
        <is>
          <t>Forestal Vic</t>
        </is>
      </c>
      <c r="N38" s="202" t="inlineStr">
        <is>
          <t>Forestal Vic</t>
        </is>
      </c>
      <c r="O38" s="205" t="n"/>
      <c r="P38" s="205" t="n"/>
      <c r="Q38" s="202" t="n"/>
      <c r="R38" s="205" t="n"/>
      <c r="S38" s="205" t="n"/>
      <c r="T38" s="202" t="n"/>
      <c r="U38" s="205" t="n"/>
      <c r="V38" s="205" t="n"/>
      <c r="W38" s="202" t="n"/>
      <c r="X38" s="202" t="n"/>
    </row>
    <row r="39">
      <c r="A39" s="202" t="inlineStr">
        <is>
          <t>COSTE</t>
        </is>
      </c>
      <c r="B39" s="204" t="n">
        <v>45</v>
      </c>
      <c r="C39" s="202" t="inlineStr">
        <is>
          <t>liston_aveto_liston_aveto_120_60</t>
        </is>
      </c>
      <c r="D39" s="202" t="inlineStr">
        <is>
          <t>Liston</t>
        </is>
      </c>
      <c r="E39" s="202" t="inlineStr">
        <is>
          <t>Aveto</t>
        </is>
      </c>
      <c r="F39" s="202" t="inlineStr">
        <is>
          <t>Liston Aveto 120*60</t>
        </is>
      </c>
      <c r="G39" s="204" t="n">
        <v>6500</v>
      </c>
      <c r="H39" s="204" t="n">
        <v>120</v>
      </c>
      <c r="I39" s="204" t="n">
        <v>60</v>
      </c>
      <c r="J39" s="205" t="n">
        <v>5.84</v>
      </c>
      <c r="K39" s="205">
        <f>COMPARATIVA!G92</f>
        <v/>
      </c>
      <c r="L39" s="202" t="inlineStr">
        <is>
          <t>€/ml</t>
        </is>
      </c>
      <c r="M39" s="202" t="inlineStr">
        <is>
          <t>Forestal Vic</t>
        </is>
      </c>
      <c r="N39" s="202" t="inlineStr">
        <is>
          <t>Forestal Vic</t>
        </is>
      </c>
      <c r="O39" s="205" t="n"/>
      <c r="P39" s="205" t="n"/>
      <c r="Q39" s="202" t="n"/>
      <c r="R39" s="205" t="n"/>
      <c r="S39" s="205" t="n"/>
      <c r="T39" s="202" t="n"/>
      <c r="U39" s="205" t="n"/>
      <c r="V39" s="205" t="n"/>
      <c r="W39" s="202" t="n"/>
      <c r="X39" s="202" t="n"/>
    </row>
    <row r="40">
      <c r="A40" s="202" t="inlineStr">
        <is>
          <t>COSTE</t>
        </is>
      </c>
      <c r="B40" s="204" t="n">
        <v>46</v>
      </c>
      <c r="C40" s="202" t="inlineStr">
        <is>
          <t>liston_aveto_liston_aveto_120_120</t>
        </is>
      </c>
      <c r="D40" s="202" t="inlineStr">
        <is>
          <t>Liston</t>
        </is>
      </c>
      <c r="E40" s="202" t="inlineStr">
        <is>
          <t>Aveto</t>
        </is>
      </c>
      <c r="F40" s="202" t="inlineStr">
        <is>
          <t>Liston Aveto 120*120</t>
        </is>
      </c>
      <c r="G40" s="204" t="n">
        <v>6500</v>
      </c>
      <c r="H40" s="204" t="n">
        <v>120</v>
      </c>
      <c r="I40" s="204" t="n">
        <v>120</v>
      </c>
      <c r="J40" s="205" t="n">
        <v>12</v>
      </c>
      <c r="K40" s="205">
        <f>COMPARATIVA!G94</f>
        <v/>
      </c>
      <c r="L40" s="202" t="inlineStr">
        <is>
          <t>€/ml</t>
        </is>
      </c>
      <c r="M40" s="202" t="inlineStr">
        <is>
          <t>Forestal Vic</t>
        </is>
      </c>
      <c r="N40" s="202" t="inlineStr">
        <is>
          <t>Forestal Vic</t>
        </is>
      </c>
      <c r="O40" s="205" t="n"/>
      <c r="P40" s="205" t="n"/>
      <c r="Q40" s="202" t="n"/>
      <c r="R40" s="205" t="n"/>
      <c r="S40" s="205" t="n"/>
      <c r="T40" s="202" t="n"/>
      <c r="U40" s="205" t="n"/>
      <c r="V40" s="205" t="n"/>
      <c r="W40" s="202" t="n"/>
      <c r="X40" s="202" t="n"/>
    </row>
    <row r="41">
      <c r="A41" s="202" t="inlineStr">
        <is>
          <t>COSTE</t>
        </is>
      </c>
      <c r="B41" s="204" t="n">
        <v>48</v>
      </c>
      <c r="C41" s="202" t="inlineStr">
        <is>
          <t>canto_haya_canto_xapa_22_5mm_haya_natural</t>
        </is>
      </c>
      <c r="D41" s="202" t="inlineStr">
        <is>
          <t>Canto</t>
        </is>
      </c>
      <c r="E41" s="202" t="inlineStr">
        <is>
          <t>Haya</t>
        </is>
      </c>
      <c r="F41" s="202" t="inlineStr">
        <is>
          <t>Canto xapa 22*5mm Haya Natural</t>
        </is>
      </c>
      <c r="G41" s="204" t="n"/>
      <c r="H41" s="204" t="n">
        <v>22</v>
      </c>
      <c r="I41" s="204" t="n">
        <v>5</v>
      </c>
      <c r="J41" s="205" t="n">
        <v>0.42</v>
      </c>
      <c r="K41" s="205">
        <f>COMPARATIVA!G96</f>
        <v/>
      </c>
      <c r="L41" s="202" t="inlineStr">
        <is>
          <t>€/ml</t>
        </is>
      </c>
      <c r="M41" s="202" t="inlineStr">
        <is>
          <t>Closa</t>
        </is>
      </c>
      <c r="N41" s="202" t="inlineStr">
        <is>
          <t>Closa</t>
        </is>
      </c>
      <c r="O41" s="205" t="n"/>
      <c r="P41" s="205" t="n"/>
      <c r="Q41" s="202" t="n"/>
      <c r="R41" s="205" t="n"/>
      <c r="S41" s="205" t="n"/>
      <c r="T41" s="202" t="n"/>
      <c r="U41" s="205" t="n"/>
      <c r="V41" s="205" t="n"/>
      <c r="W41" s="202" t="n"/>
      <c r="X41" s="202" t="n"/>
    </row>
    <row r="42">
      <c r="A42" s="202" t="inlineStr">
        <is>
          <t>COSTE</t>
        </is>
      </c>
      <c r="B42" s="204" t="n">
        <v>49</v>
      </c>
      <c r="C42" s="202" t="inlineStr">
        <is>
          <t>canto_blanco_canto_seft_22_x_0_8_mm</t>
        </is>
      </c>
      <c r="D42" s="202" t="inlineStr">
        <is>
          <t>Canto</t>
        </is>
      </c>
      <c r="E42" s="202" t="inlineStr">
        <is>
          <t>Blanco</t>
        </is>
      </c>
      <c r="F42" s="202" t="inlineStr">
        <is>
          <t>Canto  SEFT 22 X 0,8 MM</t>
        </is>
      </c>
      <c r="G42" s="204" t="n"/>
      <c r="H42" s="204" t="n">
        <v>22</v>
      </c>
      <c r="I42" s="204" t="n">
        <v>0.8</v>
      </c>
      <c r="J42" s="205" t="n">
        <v>0.18</v>
      </c>
      <c r="K42" s="205">
        <f>COMPARATIVA!G100</f>
        <v/>
      </c>
      <c r="L42" s="202" t="inlineStr">
        <is>
          <t>€/ml</t>
        </is>
      </c>
      <c r="M42" s="202" t="inlineStr">
        <is>
          <t>Closa</t>
        </is>
      </c>
      <c r="N42" s="202">
        <f>COMPARATIVA!I100</f>
        <v/>
      </c>
      <c r="O42" s="205" t="n"/>
      <c r="P42" s="205" t="n"/>
      <c r="Q42" s="202" t="n"/>
      <c r="R42" s="205" t="n"/>
      <c r="S42" s="205" t="n"/>
      <c r="T42" s="202" t="n"/>
      <c r="U42" s="205" t="n"/>
      <c r="V42" s="205" t="n"/>
      <c r="W42" s="202" t="n"/>
      <c r="X42" s="202" t="n"/>
    </row>
    <row r="43">
      <c r="A43" s="202" t="inlineStr">
        <is>
          <t>COSTE</t>
        </is>
      </c>
      <c r="B43" s="204" t="n">
        <v>50</v>
      </c>
      <c r="C43" s="202" t="inlineStr">
        <is>
          <t>canto_negro_canto_abs_negro_u_190_23_0_8</t>
        </is>
      </c>
      <c r="D43" s="202" t="inlineStr">
        <is>
          <t xml:space="preserve">Canto </t>
        </is>
      </c>
      <c r="E43" s="202" t="inlineStr">
        <is>
          <t>Negro</t>
        </is>
      </c>
      <c r="F43" s="202" t="inlineStr">
        <is>
          <t xml:space="preserve">Canto ABS Negro U-190 23*0,8 </t>
        </is>
      </c>
      <c r="G43" s="204" t="n"/>
      <c r="H43" s="204" t="n">
        <v>23</v>
      </c>
      <c r="I43" s="204" t="n">
        <v>0.8</v>
      </c>
      <c r="J43" s="205" t="n">
        <v>0.38</v>
      </c>
      <c r="K43" s="205">
        <f>COMPARATIVA!G98</f>
        <v/>
      </c>
      <c r="L43" s="202" t="inlineStr">
        <is>
          <t>€/ml</t>
        </is>
      </c>
      <c r="M43" s="202" t="inlineStr">
        <is>
          <t>Closa</t>
        </is>
      </c>
      <c r="N43" s="202">
        <f>COMPARATIVA!I98</f>
        <v/>
      </c>
      <c r="O43" s="205" t="n"/>
      <c r="P43" s="205" t="n"/>
      <c r="Q43" s="202" t="n"/>
      <c r="R43" s="205" t="n"/>
      <c r="S43" s="205" t="n"/>
      <c r="T43" s="202" t="n"/>
      <c r="U43" s="205" t="n"/>
      <c r="V43" s="205" t="n"/>
      <c r="W43" s="202" t="n"/>
      <c r="X43" s="202" t="n"/>
    </row>
    <row r="44">
      <c r="A44" s="202" t="inlineStr">
        <is>
          <t>COSTE</t>
        </is>
      </c>
      <c r="B44" s="204" t="n">
        <v>51</v>
      </c>
      <c r="C44" s="202" t="inlineStr">
        <is>
          <t>canto_velvet_oak_canto_velvet_oak</t>
        </is>
      </c>
      <c r="D44" s="202" t="inlineStr">
        <is>
          <t xml:space="preserve">Canto </t>
        </is>
      </c>
      <c r="E44" s="202" t="inlineStr">
        <is>
          <t>Velvet Oak</t>
        </is>
      </c>
      <c r="F44" s="202" t="inlineStr">
        <is>
          <t>Canto  Velvet Oak</t>
        </is>
      </c>
      <c r="G44" s="204" t="n"/>
      <c r="H44" s="204" t="n">
        <v>22</v>
      </c>
      <c r="I44" s="204" t="n">
        <v>0.8</v>
      </c>
      <c r="J44" s="205" t="n">
        <v>0.35217</v>
      </c>
      <c r="K44" s="205">
        <f>COMPARATIVA!G101</f>
        <v/>
      </c>
      <c r="L44" s="202" t="inlineStr">
        <is>
          <t>€/ml</t>
        </is>
      </c>
      <c r="M44" s="202" t="inlineStr">
        <is>
          <t>M&amp;M Cantos</t>
        </is>
      </c>
      <c r="N44" s="202" t="inlineStr">
        <is>
          <t>M&amp;M Cantos</t>
        </is>
      </c>
      <c r="O44" s="205" t="n"/>
      <c r="P44" s="205" t="n"/>
      <c r="Q44" s="202" t="n"/>
      <c r="R44" s="205" t="n"/>
      <c r="S44" s="205" t="n"/>
      <c r="T44" s="202" t="n"/>
      <c r="U44" s="205" t="n"/>
      <c r="V44" s="205" t="n"/>
      <c r="W44" s="202" t="n"/>
      <c r="X44" s="202" t="n"/>
    </row>
    <row r="45">
      <c r="A45" s="202" t="inlineStr">
        <is>
          <t>COSTE</t>
        </is>
      </c>
      <c r="B45" s="204" t="n">
        <v>52</v>
      </c>
      <c r="C45" s="202" t="inlineStr">
        <is>
          <t>canto_niagara_oak_canto_niagara_oak</t>
        </is>
      </c>
      <c r="D45" s="202" t="inlineStr">
        <is>
          <t xml:space="preserve">Canto </t>
        </is>
      </c>
      <c r="E45" s="202" t="inlineStr">
        <is>
          <t>Niagara Oak</t>
        </is>
      </c>
      <c r="F45" s="202" t="inlineStr">
        <is>
          <t>Canto  Niagara Oak</t>
        </is>
      </c>
      <c r="G45" s="204" t="n"/>
      <c r="H45" s="204" t="n">
        <v>22</v>
      </c>
      <c r="I45" s="204" t="n">
        <v>0.8</v>
      </c>
      <c r="J45" s="205" t="n">
        <v>0.35217</v>
      </c>
      <c r="K45" s="205">
        <f>COMPARATIVA!G102</f>
        <v/>
      </c>
      <c r="L45" s="202" t="inlineStr">
        <is>
          <t>€/ml</t>
        </is>
      </c>
      <c r="M45" s="202" t="inlineStr">
        <is>
          <t>M&amp;M Cantos</t>
        </is>
      </c>
      <c r="N45" s="202" t="inlineStr">
        <is>
          <t>M&amp;M Cantos</t>
        </is>
      </c>
      <c r="O45" s="205" t="n"/>
      <c r="P45" s="205" t="n"/>
      <c r="Q45" s="202" t="n"/>
      <c r="R45" s="205" t="n"/>
      <c r="S45" s="205" t="n"/>
      <c r="T45" s="202" t="n"/>
      <c r="U45" s="205" t="n"/>
      <c r="V45" s="205" t="n"/>
      <c r="W45" s="202" t="n"/>
      <c r="X45" s="202" t="n"/>
    </row>
    <row r="46">
      <c r="A46" s="202" t="inlineStr">
        <is>
          <t>COSTE</t>
        </is>
      </c>
      <c r="B46" s="204" t="n">
        <v>53</v>
      </c>
      <c r="C46" s="202" t="inlineStr">
        <is>
          <t>canto_papaya_canto_papaya</t>
        </is>
      </c>
      <c r="D46" s="202" t="inlineStr">
        <is>
          <t xml:space="preserve">Canto </t>
        </is>
      </c>
      <c r="E46" s="202" t="inlineStr">
        <is>
          <t xml:space="preserve">Papaya </t>
        </is>
      </c>
      <c r="F46" s="202" t="inlineStr">
        <is>
          <t xml:space="preserve">Canto  Papaya </t>
        </is>
      </c>
      <c r="G46" s="204" t="n"/>
      <c r="H46" s="204" t="n">
        <v>22</v>
      </c>
      <c r="I46" s="204" t="n">
        <v>0.8</v>
      </c>
      <c r="J46" s="205" t="n">
        <v>0.35217</v>
      </c>
      <c r="K46" s="205">
        <f>COMPARATIVA!G103</f>
        <v/>
      </c>
      <c r="L46" s="202" t="inlineStr">
        <is>
          <t>€/ml</t>
        </is>
      </c>
      <c r="M46" s="202" t="inlineStr">
        <is>
          <t>M&amp;M Cantos</t>
        </is>
      </c>
      <c r="N46" s="202" t="inlineStr">
        <is>
          <t>M&amp;M Cantos</t>
        </is>
      </c>
      <c r="O46" s="205" t="n"/>
      <c r="P46" s="205" t="n"/>
      <c r="Q46" s="202" t="n"/>
      <c r="R46" s="205" t="n"/>
      <c r="S46" s="205" t="n"/>
      <c r="T46" s="202" t="n"/>
      <c r="U46" s="205" t="n"/>
      <c r="V46" s="205" t="n"/>
      <c r="W46" s="202" t="n"/>
      <c r="X46" s="202" t="n"/>
    </row>
    <row r="47">
      <c r="A47" s="202" t="inlineStr">
        <is>
          <t>COSTE</t>
        </is>
      </c>
      <c r="B47" s="204" t="n">
        <v>55</v>
      </c>
      <c r="C47" s="202" t="inlineStr">
        <is>
          <t>perfil_aluminio_negro_perfil_40_20_negro_brillante</t>
        </is>
      </c>
      <c r="D47" s="202" t="inlineStr">
        <is>
          <t>Perfil</t>
        </is>
      </c>
      <c r="E47" s="202" t="inlineStr">
        <is>
          <t>Aluminio Negro</t>
        </is>
      </c>
      <c r="F47" s="202" t="inlineStr">
        <is>
          <t>Perfil 40*20 Negro Brillante</t>
        </is>
      </c>
      <c r="G47" s="204" t="n">
        <v>6000</v>
      </c>
      <c r="H47" s="204" t="n">
        <v>40</v>
      </c>
      <c r="I47" s="204" t="n">
        <v>20</v>
      </c>
      <c r="J47" s="205" t="n">
        <v>2.541</v>
      </c>
      <c r="K47" s="205" t="n">
        <v>2.541</v>
      </c>
      <c r="L47" s="202" t="inlineStr">
        <is>
          <t>€/ml</t>
        </is>
      </c>
      <c r="M47" s="202" t="inlineStr">
        <is>
          <t>Provedal</t>
        </is>
      </c>
      <c r="N47" s="202" t="inlineStr">
        <is>
          <t>Provedal</t>
        </is>
      </c>
      <c r="O47" s="205" t="n"/>
      <c r="P47" s="205" t="n"/>
      <c r="Q47" s="202" t="n"/>
      <c r="R47" s="205" t="n"/>
      <c r="S47" s="205" t="n"/>
      <c r="T47" s="202" t="n"/>
      <c r="U47" s="205" t="n"/>
      <c r="V47" s="205" t="n"/>
      <c r="W47" s="202" t="n"/>
      <c r="X47" s="202" t="n"/>
    </row>
    <row r="48">
      <c r="A48" s="202" t="inlineStr">
        <is>
          <t>COSTE</t>
        </is>
      </c>
      <c r="B48" s="204" t="n">
        <v>56</v>
      </c>
      <c r="C48" s="202" t="inlineStr">
        <is>
          <t>perfil_aluminio_blanco_perfil_40_20_blanco_brillante</t>
        </is>
      </c>
      <c r="D48" s="202" t="inlineStr">
        <is>
          <t>Perfil</t>
        </is>
      </c>
      <c r="E48" s="202" t="inlineStr">
        <is>
          <t>Aluminio Blanco</t>
        </is>
      </c>
      <c r="F48" s="202" t="inlineStr">
        <is>
          <t>Perfil 40*20 Blanco Brillante</t>
        </is>
      </c>
      <c r="G48" s="204" t="n">
        <v>6000</v>
      </c>
      <c r="H48" s="204" t="n">
        <v>40</v>
      </c>
      <c r="I48" s="204" t="n">
        <v>20</v>
      </c>
      <c r="J48" s="205" t="n">
        <v>2.36</v>
      </c>
      <c r="K48" s="205" t="n">
        <v>2.36</v>
      </c>
      <c r="L48" s="202" t="inlineStr">
        <is>
          <t>€/ml</t>
        </is>
      </c>
      <c r="M48" s="202" t="inlineStr">
        <is>
          <t>Provedal</t>
        </is>
      </c>
      <c r="N48" s="202" t="inlineStr">
        <is>
          <t>Provedal</t>
        </is>
      </c>
      <c r="O48" s="205" t="n"/>
      <c r="P48" s="205" t="n"/>
      <c r="Q48" s="202" t="n"/>
      <c r="R48" s="205" t="n"/>
      <c r="S48" s="205" t="n"/>
      <c r="T48" s="202" t="n"/>
      <c r="U48" s="205" t="n"/>
      <c r="V48" s="205" t="n"/>
      <c r="W48" s="202" t="n"/>
      <c r="X48" s="202" t="n"/>
    </row>
    <row r="49">
      <c r="A49" s="202" t="inlineStr">
        <is>
          <t>COSTE</t>
        </is>
      </c>
      <c r="B49" s="204" t="n">
        <v>57</v>
      </c>
      <c r="C49" s="202" t="inlineStr">
        <is>
          <t>pletina_aluminio_negro_pletina_20_3_negro_brillante</t>
        </is>
      </c>
      <c r="D49" s="202" t="inlineStr">
        <is>
          <t>Pletina</t>
        </is>
      </c>
      <c r="E49" s="202" t="inlineStr">
        <is>
          <t>Aluminio Negro</t>
        </is>
      </c>
      <c r="F49" s="202" t="inlineStr">
        <is>
          <t>Pletina 20*3 Negro Brillante</t>
        </is>
      </c>
      <c r="G49" s="204" t="n">
        <v>6000</v>
      </c>
      <c r="H49" s="204" t="n">
        <v>20</v>
      </c>
      <c r="I49" s="204" t="n">
        <v>3</v>
      </c>
      <c r="J49" s="205" t="n">
        <v>2.39</v>
      </c>
      <c r="K49" s="205" t="n">
        <v>2.39</v>
      </c>
      <c r="L49" s="202" t="inlineStr">
        <is>
          <t>€/ml</t>
        </is>
      </c>
      <c r="M49" s="202" t="inlineStr">
        <is>
          <t>Provedal</t>
        </is>
      </c>
      <c r="N49" s="202" t="inlineStr">
        <is>
          <t>Provedal</t>
        </is>
      </c>
      <c r="O49" s="205" t="n"/>
      <c r="P49" s="205" t="n"/>
      <c r="Q49" s="202" t="n"/>
      <c r="R49" s="205" t="n"/>
      <c r="S49" s="205" t="n"/>
      <c r="T49" s="202" t="n"/>
      <c r="U49" s="205" t="n"/>
      <c r="V49" s="205" t="n"/>
      <c r="W49" s="202" t="n"/>
      <c r="X49" s="202" t="n"/>
    </row>
    <row r="50">
      <c r="A50" s="202" t="inlineStr">
        <is>
          <t>COSTE</t>
        </is>
      </c>
      <c r="B50" s="204" t="n">
        <v>58</v>
      </c>
      <c r="C50" s="202" t="inlineStr">
        <is>
          <t>perfil_textil_para_textiles_silicona</t>
        </is>
      </c>
      <c r="D50" s="202" t="inlineStr">
        <is>
          <t>Perfil</t>
        </is>
      </c>
      <c r="E50" s="202" t="inlineStr">
        <is>
          <t>Textil</t>
        </is>
      </c>
      <c r="F50" s="202" t="inlineStr">
        <is>
          <t>Para Textiles Silicona</t>
        </is>
      </c>
      <c r="G50" s="204" t="n"/>
      <c r="H50" s="204" t="n"/>
      <c r="I50" s="204" t="n"/>
      <c r="J50" s="205" t="n">
        <v>5</v>
      </c>
      <c r="K50" s="205">
        <f>COMPARATIVA!G108</f>
        <v/>
      </c>
      <c r="L50" s="202" t="inlineStr">
        <is>
          <t>€/ml</t>
        </is>
      </c>
      <c r="M50" s="202" t="n"/>
      <c r="N50" s="202" t="n"/>
      <c r="O50" s="205" t="n"/>
      <c r="P50" s="205" t="n"/>
      <c r="Q50" s="202" t="n"/>
      <c r="R50" s="205" t="n"/>
      <c r="S50" s="205" t="n"/>
      <c r="T50" s="202" t="n"/>
      <c r="U50" s="205" t="n"/>
      <c r="V50" s="205" t="n"/>
      <c r="W50" s="202" t="n"/>
      <c r="X50" s="202" t="n"/>
    </row>
    <row r="51">
      <c r="A51" s="202" t="inlineStr">
        <is>
          <t>COSTE</t>
        </is>
      </c>
      <c r="B51" s="204" t="n">
        <v>59</v>
      </c>
      <c r="C51" s="202" t="inlineStr">
        <is>
          <t>perfil_aluminio_perfil_en_u_aluminio_cristal</t>
        </is>
      </c>
      <c r="D51" s="202" t="inlineStr">
        <is>
          <t>Perfil</t>
        </is>
      </c>
      <c r="E51" s="202" t="inlineStr">
        <is>
          <t>Aluminio</t>
        </is>
      </c>
      <c r="F51" s="202" t="inlineStr">
        <is>
          <t>Perfil en U aluminio  (?Cristal?)</t>
        </is>
      </c>
      <c r="G51" s="204" t="n"/>
      <c r="H51" s="204" t="n"/>
      <c r="I51" s="204" t="n"/>
      <c r="J51" s="205" t="n">
        <v>5.77</v>
      </c>
      <c r="K51" s="205">
        <f>COMPARATIVA!G109</f>
        <v/>
      </c>
      <c r="L51" s="202" t="inlineStr">
        <is>
          <t>€/ml</t>
        </is>
      </c>
      <c r="M51" s="202" t="n"/>
      <c r="N51" s="202" t="n"/>
      <c r="O51" s="205" t="n"/>
      <c r="P51" s="205" t="n"/>
      <c r="Q51" s="202" t="n"/>
      <c r="R51" s="205" t="n"/>
      <c r="S51" s="205" t="n"/>
      <c r="T51" s="202" t="n"/>
      <c r="U51" s="205" t="n"/>
      <c r="V51" s="205" t="n"/>
      <c r="W51" s="202" t="n"/>
      <c r="X51" s="202" t="n"/>
    </row>
    <row r="52">
      <c r="A52" s="202" t="inlineStr">
        <is>
          <t>COSTE</t>
        </is>
      </c>
      <c r="B52" s="204" t="n">
        <v>61</v>
      </c>
      <c r="C52" s="202" t="inlineStr">
        <is>
          <t>cristal_cristal_cristal_a_medida</t>
        </is>
      </c>
      <c r="D52" s="202" t="inlineStr">
        <is>
          <t>Cristal</t>
        </is>
      </c>
      <c r="E52" s="202" t="inlineStr">
        <is>
          <t>Cristal</t>
        </is>
      </c>
      <c r="F52" s="202" t="inlineStr">
        <is>
          <t>Cristal a medida</t>
        </is>
      </c>
      <c r="G52" s="204" t="n"/>
      <c r="H52" s="204" t="n"/>
      <c r="I52" s="204" t="n"/>
      <c r="J52" s="205" t="n">
        <v>103.77</v>
      </c>
      <c r="K52" s="205">
        <f>(6.49)+(67.28)+(30)</f>
        <v/>
      </c>
      <c r="L52" s="202" t="inlineStr">
        <is>
          <t>€/m2</t>
        </is>
      </c>
      <c r="M52" s="202" t="inlineStr">
        <is>
          <t>Mascarell</t>
        </is>
      </c>
      <c r="N52" s="202" t="inlineStr">
        <is>
          <t>Mascarell</t>
        </is>
      </c>
      <c r="O52" s="205" t="n"/>
      <c r="P52" s="205" t="n"/>
      <c r="Q52" s="202" t="n"/>
      <c r="R52" s="205" t="n"/>
      <c r="S52" s="205" t="n"/>
      <c r="T52" s="202" t="n"/>
      <c r="U52" s="205" t="n"/>
      <c r="V52" s="205" t="n"/>
      <c r="W52" s="202" t="n"/>
      <c r="X52" s="202" t="n"/>
    </row>
    <row r="53">
      <c r="A53" s="202" t="inlineStr">
        <is>
          <t>COSTE</t>
        </is>
      </c>
      <c r="B53" s="204" t="n">
        <v>62</v>
      </c>
      <c r="C53" s="202" t="inlineStr">
        <is>
          <t>cristal_puerta_puerta_tarja_a_medida</t>
        </is>
      </c>
      <c r="D53" s="202" t="inlineStr">
        <is>
          <t xml:space="preserve">Cristal </t>
        </is>
      </c>
      <c r="E53" s="202" t="inlineStr">
        <is>
          <t>Puerta</t>
        </is>
      </c>
      <c r="F53" s="202" t="inlineStr">
        <is>
          <t>Puerta + Tarja  a medida</t>
        </is>
      </c>
      <c r="G53" s="204" t="n"/>
      <c r="H53" s="204" t="n"/>
      <c r="I53" s="204" t="n"/>
      <c r="J53" s="205" t="n">
        <v>500</v>
      </c>
      <c r="K53" s="205" t="n">
        <v>500</v>
      </c>
      <c r="L53" s="202" t="inlineStr">
        <is>
          <t>uni</t>
        </is>
      </c>
      <c r="M53" s="202" t="inlineStr">
        <is>
          <t>Mascarell</t>
        </is>
      </c>
      <c r="N53" s="202" t="inlineStr">
        <is>
          <t>Mascarell</t>
        </is>
      </c>
      <c r="O53" s="205" t="n"/>
      <c r="P53" s="205" t="n"/>
      <c r="Q53" s="202" t="n"/>
      <c r="R53" s="205" t="n"/>
      <c r="S53" s="205" t="n"/>
      <c r="T53" s="202" t="n"/>
      <c r="U53" s="205" t="n"/>
      <c r="V53" s="205" t="n"/>
      <c r="W53" s="202" t="n"/>
      <c r="X53" s="202" t="n"/>
    </row>
    <row r="54">
      <c r="A54" s="202" t="inlineStr">
        <is>
          <t>COSTE</t>
        </is>
      </c>
      <c r="B54" s="204" t="n">
        <v>64</v>
      </c>
      <c r="C54" s="202" t="inlineStr">
        <is>
          <t>muro_bmatrix_alquiler_muro_bmatrix</t>
        </is>
      </c>
      <c r="D54" s="202" t="inlineStr">
        <is>
          <t>Muro</t>
        </is>
      </c>
      <c r="E54" s="202" t="inlineStr">
        <is>
          <t>Bmatrix</t>
        </is>
      </c>
      <c r="F54" s="202" t="inlineStr">
        <is>
          <t>Alquiler Muro Bmatrix</t>
        </is>
      </c>
      <c r="G54" s="204" t="n"/>
      <c r="H54" s="204" t="n"/>
      <c r="I54" s="204" t="n"/>
      <c r="J54" s="205" t="n">
        <v>50</v>
      </c>
      <c r="K54" s="205">
        <f>COMPARATIVA!G111</f>
        <v/>
      </c>
      <c r="L54" s="202" t="inlineStr">
        <is>
          <t>€/m2</t>
        </is>
      </c>
      <c r="M54" s="202" t="n">
        <v>0</v>
      </c>
      <c r="N54" s="202">
        <f>COMPARATIVA!I111</f>
        <v/>
      </c>
      <c r="O54" s="205" t="n"/>
      <c r="P54" s="205" t="n"/>
      <c r="Q54" s="202" t="n"/>
      <c r="R54" s="205" t="n"/>
      <c r="S54" s="205" t="n"/>
      <c r="T54" s="202" t="n"/>
      <c r="U54" s="205" t="n"/>
      <c r="V54" s="205" t="n"/>
      <c r="W54" s="202" t="n"/>
      <c r="X54" s="202" t="n"/>
    </row>
    <row r="55">
      <c r="A55" s="202" t="inlineStr">
        <is>
          <t>COSTE</t>
        </is>
      </c>
      <c r="B55" s="204" t="n">
        <v>66</v>
      </c>
      <c r="C55" s="202" t="inlineStr">
        <is>
          <t>plastico_plastico_plastico_galga_400_6_x_100_m</t>
        </is>
      </c>
      <c r="D55" s="202" t="inlineStr">
        <is>
          <t>Plastico</t>
        </is>
      </c>
      <c r="E55" s="202" t="inlineStr">
        <is>
          <t>Plastico</t>
        </is>
      </c>
      <c r="F55" s="202" t="inlineStr">
        <is>
          <t>Plastico galga 400 (6 x 100 m)</t>
        </is>
      </c>
      <c r="G55" s="204" t="n">
        <v>100</v>
      </c>
      <c r="H55" s="204" t="n">
        <v>6</v>
      </c>
      <c r="I55" s="204" t="n">
        <v>0.01</v>
      </c>
      <c r="J55" s="205" t="n">
        <v>0.0974</v>
      </c>
      <c r="K55" s="205" t="n">
        <v>0.0974</v>
      </c>
      <c r="L55" s="202" t="inlineStr">
        <is>
          <t>€/ml</t>
        </is>
      </c>
      <c r="M55" s="202" t="inlineStr">
        <is>
          <t>??</t>
        </is>
      </c>
      <c r="N55" s="202" t="inlineStr">
        <is>
          <t>??</t>
        </is>
      </c>
      <c r="O55" s="205" t="n"/>
      <c r="P55" s="205" t="n"/>
      <c r="Q55" s="202" t="n"/>
      <c r="R55" s="205" t="n"/>
      <c r="S55" s="205" t="n"/>
      <c r="T55" s="202" t="n"/>
      <c r="U55" s="205" t="n"/>
      <c r="V55" s="205" t="n"/>
      <c r="W55" s="202" t="n"/>
      <c r="X55" s="202" t="n"/>
    </row>
    <row r="56">
      <c r="A56" s="202" t="inlineStr">
        <is>
          <t>COSTE</t>
        </is>
      </c>
      <c r="B56" s="204" t="n">
        <v>67</v>
      </c>
      <c r="C56" s="202" t="inlineStr">
        <is>
          <t>aislante_lana_roca_lana_roca</t>
        </is>
      </c>
      <c r="D56" s="202" t="inlineStr">
        <is>
          <t xml:space="preserve">Aislante </t>
        </is>
      </c>
      <c r="E56" s="202" t="inlineStr">
        <is>
          <t>Lana Roca</t>
        </is>
      </c>
      <c r="F56" s="202" t="inlineStr">
        <is>
          <t xml:space="preserve">Lana roca </t>
        </is>
      </c>
      <c r="G56" s="204" t="n">
        <v>1.35</v>
      </c>
      <c r="H56" s="204" t="n">
        <v>0.6</v>
      </c>
      <c r="I56" s="204" t="n">
        <v>0.04</v>
      </c>
      <c r="J56" s="205" t="n">
        <v>4.05</v>
      </c>
      <c r="K56" s="205" t="n">
        <v>4.05</v>
      </c>
      <c r="L56" s="202" t="inlineStr">
        <is>
          <t>€/m2</t>
        </is>
      </c>
      <c r="M56" s="202" t="inlineStr">
        <is>
          <t>Leroy merlin</t>
        </is>
      </c>
      <c r="N56" s="202" t="inlineStr">
        <is>
          <t>Leroy merlin</t>
        </is>
      </c>
      <c r="O56" s="205" t="n"/>
      <c r="P56" s="205" t="n"/>
      <c r="Q56" s="202" t="n"/>
      <c r="R56" s="205" t="n"/>
      <c r="S56" s="205" t="n"/>
      <c r="T56" s="202" t="n"/>
      <c r="U56" s="205" t="n"/>
      <c r="V56" s="205" t="n"/>
      <c r="W56" s="202" t="n"/>
      <c r="X56" s="202" t="n"/>
    </row>
    <row r="57">
      <c r="A57" s="202" t="inlineStr">
        <is>
          <t>COSTE</t>
        </is>
      </c>
      <c r="B57" s="204" t="n">
        <v>69</v>
      </c>
      <c r="C57" s="202" t="inlineStr">
        <is>
          <t>logistica_1_trailer_eswood_feria_bcn_13_6_largo_2_4_ancho_2_6_alto</t>
        </is>
      </c>
      <c r="D57" s="202" t="inlineStr">
        <is>
          <t>Logistica</t>
        </is>
      </c>
      <c r="E57" s="202" t="inlineStr">
        <is>
          <t>1 Trailer</t>
        </is>
      </c>
      <c r="F57" s="202" t="inlineStr">
        <is>
          <t>ESWood - Feria BCN (13,6 Largo *2,4 Ancho *2,6 Alto)</t>
        </is>
      </c>
      <c r="G57" s="204" t="n"/>
      <c r="H57" s="204" t="n"/>
      <c r="I57" s="204" t="n"/>
      <c r="J57" s="205" t="n">
        <v>390</v>
      </c>
      <c r="K57" s="205" t="n">
        <v>390</v>
      </c>
      <c r="L57" s="202" t="inlineStr">
        <is>
          <t>Viaje</t>
        </is>
      </c>
      <c r="M57" s="202" t="inlineStr">
        <is>
          <t>Sertrans</t>
        </is>
      </c>
      <c r="N57" s="202" t="inlineStr">
        <is>
          <t>Sertrans</t>
        </is>
      </c>
      <c r="O57" s="205" t="n">
        <v>200</v>
      </c>
      <c r="P57" s="205" t="n">
        <v>200</v>
      </c>
      <c r="Q57" s="202" t="inlineStr">
        <is>
          <t>Festivo</t>
        </is>
      </c>
      <c r="R57" s="205" t="n">
        <v>150</v>
      </c>
      <c r="S57" s="205" t="n">
        <v>150</v>
      </c>
      <c r="T57" s="202" t="inlineStr">
        <is>
          <t>Dia siguente</t>
        </is>
      </c>
      <c r="U57" s="205" t="n"/>
      <c r="V57" s="205" t="n"/>
      <c r="W57" s="202" t="n"/>
      <c r="X57" s="202" t="n"/>
    </row>
    <row r="58">
      <c r="A58" s="202" t="inlineStr">
        <is>
          <t>COSTE</t>
        </is>
      </c>
      <c r="B58" s="204" t="n">
        <v>70</v>
      </c>
      <c r="C58" s="202" t="inlineStr">
        <is>
          <t>logistica_1_2_trailer_eswood_feria_bcn</t>
        </is>
      </c>
      <c r="D58" s="202" t="inlineStr">
        <is>
          <t>Logistica</t>
        </is>
      </c>
      <c r="E58" s="202" t="inlineStr">
        <is>
          <t>1/2 Trailer</t>
        </is>
      </c>
      <c r="F58" s="202" t="inlineStr">
        <is>
          <t>ESWood - Feria BCN</t>
        </is>
      </c>
      <c r="G58" s="204" t="n"/>
      <c r="H58" s="204" t="n"/>
      <c r="I58" s="204" t="n"/>
      <c r="J58" s="205" t="n">
        <v>250</v>
      </c>
      <c r="K58" s="205" t="n">
        <v>250</v>
      </c>
      <c r="L58" s="202" t="inlineStr">
        <is>
          <t>Viaje</t>
        </is>
      </c>
      <c r="M58" s="202" t="inlineStr">
        <is>
          <t>Sertrans</t>
        </is>
      </c>
      <c r="N58" s="202" t="inlineStr">
        <is>
          <t>Sertrans</t>
        </is>
      </c>
      <c r="O58" s="205" t="n"/>
      <c r="P58" s="205" t="n"/>
      <c r="Q58" s="202" t="inlineStr">
        <is>
          <t>Festivo</t>
        </is>
      </c>
      <c r="R58" s="205" t="n"/>
      <c r="S58" s="205" t="n"/>
      <c r="T58" s="202" t="inlineStr">
        <is>
          <t>Dia siguente</t>
        </is>
      </c>
      <c r="U58" s="205" t="n"/>
      <c r="V58" s="205" t="n"/>
      <c r="W58" s="202" t="n"/>
      <c r="X58" s="202" t="n"/>
    </row>
    <row r="59">
      <c r="A59" s="202" t="inlineStr">
        <is>
          <t>COSTE</t>
        </is>
      </c>
      <c r="B59" s="204" t="n">
        <v>71</v>
      </c>
      <c r="C59" s="202" t="inlineStr">
        <is>
          <t>logistica_1_trailer_eswood_madrid</t>
        </is>
      </c>
      <c r="D59" s="202" t="inlineStr">
        <is>
          <t>Logistica</t>
        </is>
      </c>
      <c r="E59" s="202" t="inlineStr">
        <is>
          <t>1 Trailer</t>
        </is>
      </c>
      <c r="F59" s="202" t="inlineStr">
        <is>
          <t xml:space="preserve">ESWood - Madrid  </t>
        </is>
      </c>
      <c r="G59" s="204" t="n"/>
      <c r="H59" s="204" t="n"/>
      <c r="I59" s="204" t="n"/>
      <c r="J59" s="205" t="n">
        <v>1050</v>
      </c>
      <c r="K59" s="205" t="n">
        <v>1050</v>
      </c>
      <c r="L59" s="202" t="inlineStr">
        <is>
          <t>Viaje</t>
        </is>
      </c>
      <c r="M59" s="202" t="inlineStr">
        <is>
          <t>Sertrans</t>
        </is>
      </c>
      <c r="N59" s="202" t="inlineStr">
        <is>
          <t>Sertrans</t>
        </is>
      </c>
      <c r="O59" s="205" t="n"/>
      <c r="P59" s="205" t="n"/>
      <c r="Q59" s="202" t="n"/>
      <c r="R59" s="205" t="n"/>
      <c r="S59" s="205" t="n"/>
      <c r="T59" s="202" t="n"/>
      <c r="U59" s="205" t="n"/>
      <c r="V59" s="205" t="n"/>
      <c r="W59" s="202" t="n"/>
      <c r="X59" s="202" t="n"/>
    </row>
    <row r="60">
      <c r="A60" s="202" t="inlineStr">
        <is>
          <t>COSTE</t>
        </is>
      </c>
      <c r="B60" s="204" t="n">
        <v>72</v>
      </c>
      <c r="C60" s="202" t="inlineStr">
        <is>
          <t>logistica_1_2_trailer_eswood_vigo</t>
        </is>
      </c>
      <c r="D60" s="202" t="inlineStr">
        <is>
          <t>Logistica</t>
        </is>
      </c>
      <c r="E60" s="202" t="inlineStr">
        <is>
          <t>1/2 Trailer</t>
        </is>
      </c>
      <c r="F60" s="202" t="inlineStr">
        <is>
          <t>ESWood - Vigo</t>
        </is>
      </c>
      <c r="G60" s="204" t="n"/>
      <c r="H60" s="204" t="n"/>
      <c r="I60" s="204" t="n"/>
      <c r="J60" s="205" t="n">
        <v>1150</v>
      </c>
      <c r="K60" s="205" t="n">
        <v>1150</v>
      </c>
      <c r="L60" s="202" t="inlineStr">
        <is>
          <t>Viaje</t>
        </is>
      </c>
      <c r="M60" s="202" t="inlineStr">
        <is>
          <t>Sertrans</t>
        </is>
      </c>
      <c r="N60" s="202" t="inlineStr">
        <is>
          <t>Sertrans</t>
        </is>
      </c>
      <c r="O60" s="205" t="n">
        <v>250</v>
      </c>
      <c r="P60" s="205" t="n">
        <v>250</v>
      </c>
      <c r="Q60" s="202" t="inlineStr">
        <is>
          <t>Sabado</t>
        </is>
      </c>
      <c r="R60" s="205" t="n">
        <v>375</v>
      </c>
      <c r="S60" s="205" t="n">
        <v>375</v>
      </c>
      <c r="T60" s="202" t="inlineStr">
        <is>
          <t>Domingo</t>
        </is>
      </c>
      <c r="U60" s="205" t="n"/>
      <c r="V60" s="205" t="n"/>
      <c r="W60" s="202" t="n"/>
      <c r="X60" s="202" t="n"/>
    </row>
    <row r="61">
      <c r="A61" s="202" t="inlineStr">
        <is>
          <t>COSTE</t>
        </is>
      </c>
      <c r="B61" s="204" t="n">
        <v>73</v>
      </c>
      <c r="C61" s="202" t="inlineStr">
        <is>
          <t>logistica_1_trailer_eswood_vigo</t>
        </is>
      </c>
      <c r="D61" s="202" t="inlineStr">
        <is>
          <t>Logistica</t>
        </is>
      </c>
      <c r="E61" s="202" t="inlineStr">
        <is>
          <t>1 Trailer</t>
        </is>
      </c>
      <c r="F61" s="202" t="inlineStr">
        <is>
          <t>ESWood - Vigo</t>
        </is>
      </c>
      <c r="G61" s="204" t="n"/>
      <c r="H61" s="204" t="n"/>
      <c r="I61" s="204" t="n"/>
      <c r="J61" s="205" t="n">
        <v>1700</v>
      </c>
      <c r="K61" s="205" t="n">
        <v>1700</v>
      </c>
      <c r="L61" s="202" t="inlineStr">
        <is>
          <t>Viaje</t>
        </is>
      </c>
      <c r="M61" s="202" t="inlineStr">
        <is>
          <t>Sertrans</t>
        </is>
      </c>
      <c r="N61" s="202" t="inlineStr">
        <is>
          <t>Sertrans</t>
        </is>
      </c>
      <c r="O61" s="205" t="n">
        <v>250</v>
      </c>
      <c r="P61" s="205" t="n">
        <v>250</v>
      </c>
      <c r="Q61" s="202" t="inlineStr">
        <is>
          <t>Sabado</t>
        </is>
      </c>
      <c r="R61" s="205" t="n">
        <v>375</v>
      </c>
      <c r="S61" s="205" t="n">
        <v>375</v>
      </c>
      <c r="T61" s="202" t="inlineStr">
        <is>
          <t>Domingo</t>
        </is>
      </c>
      <c r="U61" s="205" t="n"/>
      <c r="V61" s="205" t="n"/>
      <c r="W61" s="202" t="n"/>
      <c r="X61" s="202" t="n"/>
    </row>
    <row r="62">
      <c r="A62" s="202" t="inlineStr">
        <is>
          <t>COSTE</t>
        </is>
      </c>
      <c r="B62" s="204" t="n">
        <v>74</v>
      </c>
      <c r="C62" s="202" t="inlineStr">
        <is>
          <t>logistica_1_2_trailer_eswood_londres</t>
        </is>
      </c>
      <c r="D62" s="202" t="inlineStr">
        <is>
          <t>Logistica</t>
        </is>
      </c>
      <c r="E62" s="202" t="inlineStr">
        <is>
          <t>1/2 Trailer</t>
        </is>
      </c>
      <c r="F62" s="202" t="inlineStr">
        <is>
          <t>ESWood - Londres</t>
        </is>
      </c>
      <c r="G62" s="204" t="n"/>
      <c r="H62" s="204" t="n"/>
      <c r="I62" s="204" t="n"/>
      <c r="J62" s="205" t="n"/>
      <c r="K62" s="205" t="n"/>
      <c r="L62" s="202" t="inlineStr">
        <is>
          <t>Viaje</t>
        </is>
      </c>
      <c r="M62" s="202" t="inlineStr">
        <is>
          <t>Sertrans</t>
        </is>
      </c>
      <c r="N62" s="202" t="inlineStr">
        <is>
          <t>Sertrans</t>
        </is>
      </c>
      <c r="O62" s="205" t="n"/>
      <c r="P62" s="205" t="n"/>
      <c r="Q62" s="202" t="n"/>
      <c r="R62" s="205" t="n"/>
      <c r="S62" s="205" t="n"/>
      <c r="T62" s="202" t="n"/>
      <c r="U62" s="205" t="n"/>
      <c r="V62" s="205" t="n"/>
      <c r="W62" s="202" t="n"/>
      <c r="X62" s="202" t="n"/>
    </row>
    <row r="63">
      <c r="A63" s="202" t="inlineStr">
        <is>
          <t>COSTE</t>
        </is>
      </c>
      <c r="B63" s="204" t="n">
        <v>75</v>
      </c>
      <c r="C63" s="202" t="inlineStr">
        <is>
          <t>logistica_1_trailer_eswood_londres</t>
        </is>
      </c>
      <c r="D63" s="202" t="inlineStr">
        <is>
          <t>Logistica</t>
        </is>
      </c>
      <c r="E63" s="202" t="inlineStr">
        <is>
          <t>1 Trailer</t>
        </is>
      </c>
      <c r="F63" s="202" t="inlineStr">
        <is>
          <t>ESWood - Londres</t>
        </is>
      </c>
      <c r="G63" s="204" t="n"/>
      <c r="H63" s="204" t="n"/>
      <c r="I63" s="204" t="n"/>
      <c r="J63" s="205" t="n">
        <v>3850</v>
      </c>
      <c r="K63" s="205" t="n">
        <v>3850</v>
      </c>
      <c r="L63" s="202" t="inlineStr">
        <is>
          <t>Viaje</t>
        </is>
      </c>
      <c r="M63" s="202" t="inlineStr">
        <is>
          <t>Sertrans</t>
        </is>
      </c>
      <c r="N63" s="202" t="inlineStr">
        <is>
          <t>Sertrans</t>
        </is>
      </c>
      <c r="O63" s="205" t="n">
        <v>80</v>
      </c>
      <c r="P63" s="205" t="n">
        <v>80</v>
      </c>
      <c r="Q63" s="202" t="inlineStr">
        <is>
          <t>ATA</t>
        </is>
      </c>
      <c r="R63" s="205" t="n"/>
      <c r="S63" s="205" t="n"/>
      <c r="T63" s="202" t="n"/>
      <c r="U63" s="205" t="n"/>
      <c r="V63" s="205" t="n"/>
      <c r="W63" s="202" t="n"/>
      <c r="X63" s="202" t="n"/>
    </row>
    <row r="64">
      <c r="A64" s="202" t="inlineStr">
        <is>
          <t>COSTE</t>
        </is>
      </c>
      <c r="B64" s="204" t="n">
        <v>76</v>
      </c>
      <c r="C64" s="202" t="inlineStr">
        <is>
          <t>logistica_1_trailer_londres_eswood</t>
        </is>
      </c>
      <c r="D64" s="202" t="inlineStr">
        <is>
          <t>Logistica</t>
        </is>
      </c>
      <c r="E64" s="202" t="inlineStr">
        <is>
          <t>1 Trailer</t>
        </is>
      </c>
      <c r="F64" s="202" t="inlineStr">
        <is>
          <t>Londres - ESWood</t>
        </is>
      </c>
      <c r="G64" s="204" t="n"/>
      <c r="H64" s="204" t="n"/>
      <c r="I64" s="204" t="n"/>
      <c r="J64" s="205" t="n">
        <v>2350</v>
      </c>
      <c r="K64" s="205" t="n">
        <v>2350</v>
      </c>
      <c r="L64" s="202" t="inlineStr">
        <is>
          <t>Viaje</t>
        </is>
      </c>
      <c r="M64" s="202" t="inlineStr">
        <is>
          <t>Sertrans</t>
        </is>
      </c>
      <c r="N64" s="202" t="inlineStr">
        <is>
          <t>Sertrans</t>
        </is>
      </c>
      <c r="O64" s="205" t="n">
        <v>80</v>
      </c>
      <c r="P64" s="205" t="n">
        <v>80</v>
      </c>
      <c r="Q64" s="202" t="inlineStr">
        <is>
          <t>ATA</t>
        </is>
      </c>
      <c r="R64" s="205" t="n"/>
      <c r="S64" s="205" t="n"/>
      <c r="T64" s="202" t="n"/>
      <c r="U64" s="205" t="n"/>
      <c r="V64" s="205" t="n"/>
      <c r="W64" s="202" t="n"/>
      <c r="X64" s="202" t="n"/>
    </row>
    <row r="65">
      <c r="A65" s="202" t="inlineStr">
        <is>
          <t>COSTE</t>
        </is>
      </c>
      <c r="B65" s="204" t="n">
        <v>78</v>
      </c>
      <c r="C65" s="202" t="inlineStr">
        <is>
          <t>logistica_toro_1h_con_conductor_feria_granvia_resa</t>
        </is>
      </c>
      <c r="D65" s="202" t="inlineStr">
        <is>
          <t>Logistica</t>
        </is>
      </c>
      <c r="E65" s="202" t="inlineStr">
        <is>
          <t>Toro</t>
        </is>
      </c>
      <c r="F65" s="202" t="inlineStr">
        <is>
          <t>1h con conductor Feria Granvia Resa</t>
        </is>
      </c>
      <c r="G65" s="204" t="n"/>
      <c r="H65" s="204" t="n"/>
      <c r="I65" s="204" t="n"/>
      <c r="J65" s="205" t="n">
        <v>86</v>
      </c>
      <c r="K65" s="205" t="n">
        <v>86</v>
      </c>
      <c r="L65" s="202" t="inlineStr">
        <is>
          <t>€/1h</t>
        </is>
      </c>
      <c r="M65" s="202" t="inlineStr">
        <is>
          <t>Resa Expo</t>
        </is>
      </c>
      <c r="N65" s="202" t="inlineStr">
        <is>
          <t>Resa Expo</t>
        </is>
      </c>
      <c r="O65" s="205" t="n"/>
      <c r="P65" s="205" t="n"/>
      <c r="Q65" s="202" t="n"/>
      <c r="R65" s="205" t="n">
        <v>0.1</v>
      </c>
      <c r="S65" s="205" t="n">
        <v>0.1</v>
      </c>
      <c r="T65" s="202" t="inlineStr">
        <is>
          <t>10 dias antelacion</t>
        </is>
      </c>
      <c r="U65" s="205" t="n"/>
      <c r="V65" s="205" t="n"/>
      <c r="W65" s="202" t="n"/>
      <c r="X65" s="202" t="n"/>
    </row>
    <row r="66">
      <c r="A66" s="202" t="inlineStr">
        <is>
          <t>COSTE</t>
        </is>
      </c>
      <c r="B66" s="204" t="n">
        <v>79</v>
      </c>
      <c r="C66" s="202" t="inlineStr">
        <is>
          <t>logistica_toro_1_dia_sin_conductor_feria_granvia_resa</t>
        </is>
      </c>
      <c r="D66" s="202" t="inlineStr">
        <is>
          <t>Logistica</t>
        </is>
      </c>
      <c r="E66" s="202" t="inlineStr">
        <is>
          <t>Toro</t>
        </is>
      </c>
      <c r="F66" s="202" t="inlineStr">
        <is>
          <t>1 dia Sin conductor Feria Granvia Resa</t>
        </is>
      </c>
      <c r="G66" s="204" t="n"/>
      <c r="H66" s="204" t="n"/>
      <c r="I66" s="204" t="n"/>
      <c r="J66" s="205" t="n">
        <v>313</v>
      </c>
      <c r="K66" s="205">
        <f>163+150</f>
        <v/>
      </c>
      <c r="L66" s="202" t="inlineStr">
        <is>
          <t>€/1dia</t>
        </is>
      </c>
      <c r="M66" s="202" t="inlineStr">
        <is>
          <t>Resa Expo</t>
        </is>
      </c>
      <c r="N66" s="202" t="inlineStr">
        <is>
          <t>Resa Expo</t>
        </is>
      </c>
      <c r="O66" s="205" t="n"/>
      <c r="P66" s="205" t="n"/>
      <c r="Q66" s="202" t="n"/>
      <c r="R66" s="205" t="n">
        <v>0.1</v>
      </c>
      <c r="S66" s="205" t="n">
        <v>0.1</v>
      </c>
      <c r="T66" s="202" t="inlineStr">
        <is>
          <t>10 dias antelacion</t>
        </is>
      </c>
      <c r="U66" s="205" t="n"/>
      <c r="V66" s="205" t="n"/>
      <c r="W66" s="202" t="n"/>
      <c r="X66" s="202" t="n"/>
    </row>
    <row r="67">
      <c r="A67" s="202" t="inlineStr">
        <is>
          <t>COSTE</t>
        </is>
      </c>
      <c r="B67" s="204" t="n">
        <v>80</v>
      </c>
      <c r="C67" s="202" t="inlineStr">
        <is>
          <t>logistica_toro_1h_con_conductor_feria_granvia_resa_mwc</t>
        </is>
      </c>
      <c r="D67" s="202" t="inlineStr">
        <is>
          <t>Logistica</t>
        </is>
      </c>
      <c r="E67" s="202" t="inlineStr">
        <is>
          <t>Toro</t>
        </is>
      </c>
      <c r="F67" s="202" t="inlineStr">
        <is>
          <t>1h con conductor Feria Granvia Resa (MWC)</t>
        </is>
      </c>
      <c r="G67" s="204" t="n"/>
      <c r="H67" s="204" t="n"/>
      <c r="I67" s="204" t="n"/>
      <c r="J67" s="205" t="n"/>
      <c r="K67" s="205" t="n"/>
      <c r="L67" s="202" t="inlineStr">
        <is>
          <t>€/1h</t>
        </is>
      </c>
      <c r="M67" s="202" t="inlineStr">
        <is>
          <t>Resa Expo</t>
        </is>
      </c>
      <c r="N67" s="202" t="inlineStr">
        <is>
          <t>Resa Expo</t>
        </is>
      </c>
      <c r="O67" s="205" t="n"/>
      <c r="P67" s="205" t="n"/>
      <c r="Q67" s="202" t="n"/>
      <c r="R67" s="205" t="n">
        <v>0.1</v>
      </c>
      <c r="S67" s="205" t="n">
        <v>0.1</v>
      </c>
      <c r="T67" s="202" t="inlineStr">
        <is>
          <t>10 dias antelacion</t>
        </is>
      </c>
      <c r="U67" s="205" t="n"/>
      <c r="V67" s="205" t="n"/>
      <c r="W67" s="202" t="n"/>
      <c r="X67" s="202" t="n"/>
    </row>
    <row r="68">
      <c r="A68" s="202" t="inlineStr">
        <is>
          <t>COSTE</t>
        </is>
      </c>
      <c r="B68" s="204" t="n">
        <v>81</v>
      </c>
      <c r="C68" s="202" t="inlineStr">
        <is>
          <t>logistica_toro_1_dia_sin_conductor_feria_granvia_resa_mwc</t>
        </is>
      </c>
      <c r="D68" s="202" t="inlineStr">
        <is>
          <t>Logistica</t>
        </is>
      </c>
      <c r="E68" s="202" t="inlineStr">
        <is>
          <t>Toro</t>
        </is>
      </c>
      <c r="F68" s="202" t="inlineStr">
        <is>
          <t>1 dia Sin conductor Feria Granvia Resa (MWC)</t>
        </is>
      </c>
      <c r="G68" s="204" t="n"/>
      <c r="H68" s="204" t="n"/>
      <c r="I68" s="204" t="n"/>
      <c r="J68" s="205" t="n"/>
      <c r="K68" s="205" t="n"/>
      <c r="L68" s="202" t="inlineStr">
        <is>
          <t>€/1dia</t>
        </is>
      </c>
      <c r="M68" s="202" t="inlineStr">
        <is>
          <t>Resa Expo</t>
        </is>
      </c>
      <c r="N68" s="202" t="inlineStr">
        <is>
          <t>Resa Expo</t>
        </is>
      </c>
      <c r="O68" s="205" t="n"/>
      <c r="P68" s="205" t="n"/>
      <c r="Q68" s="202" t="n"/>
      <c r="R68" s="205" t="n">
        <v>0.1</v>
      </c>
      <c r="S68" s="205" t="n">
        <v>0.1</v>
      </c>
      <c r="T68" s="202" t="inlineStr">
        <is>
          <t>10 dias antelacion</t>
        </is>
      </c>
      <c r="U68" s="205" t="n"/>
      <c r="V68" s="205" t="n"/>
      <c r="W68" s="202" t="n"/>
      <c r="X68" s="202" t="n"/>
    </row>
    <row r="69">
      <c r="A69" s="202" t="inlineStr">
        <is>
          <t>COSTE</t>
        </is>
      </c>
      <c r="B69" s="204" t="n">
        <v>83</v>
      </c>
      <c r="C69" s="202" t="inlineStr">
        <is>
          <t>logistica_reciclado_1_container_reciclado</t>
        </is>
      </c>
      <c r="D69" s="202" t="inlineStr">
        <is>
          <t>Logistica</t>
        </is>
      </c>
      <c r="E69" s="202" t="inlineStr">
        <is>
          <t>Reciclado</t>
        </is>
      </c>
      <c r="F69" s="202" t="inlineStr">
        <is>
          <t>1 Container reciclado</t>
        </is>
      </c>
      <c r="G69" s="204" t="n"/>
      <c r="H69" s="204" t="n"/>
      <c r="I69" s="204" t="n"/>
      <c r="J69" s="205" t="n">
        <v>300</v>
      </c>
      <c r="K69" s="205" t="n">
        <v>300</v>
      </c>
      <c r="L69" s="202" t="inlineStr">
        <is>
          <t>€/Uni</t>
        </is>
      </c>
      <c r="M69" s="202" t="n"/>
      <c r="N69" s="202" t="n"/>
      <c r="O69" s="205" t="n"/>
      <c r="P69" s="205" t="n"/>
      <c r="Q69" s="202" t="n"/>
      <c r="R69" s="205" t="n"/>
      <c r="S69" s="205" t="n"/>
      <c r="T69" s="202" t="n"/>
      <c r="U69" s="205" t="n"/>
      <c r="V69" s="205" t="n"/>
      <c r="W69" s="202" t="n"/>
      <c r="X69" s="202" t="n"/>
    </row>
    <row r="70">
      <c r="A70" s="202" t="inlineStr">
        <is>
          <t>COSTE</t>
        </is>
      </c>
      <c r="B70" s="204" t="n">
        <v>85</v>
      </c>
      <c r="C70" s="202" t="inlineStr">
        <is>
          <t>pintor_blanca</t>
        </is>
      </c>
      <c r="D70" s="202" t="inlineStr">
        <is>
          <t>Pintor</t>
        </is>
      </c>
      <c r="E70" s="202" t="inlineStr">
        <is>
          <t>Blanca</t>
        </is>
      </c>
      <c r="F70" s="202" t="n"/>
      <c r="G70" s="204" t="n"/>
      <c r="H70" s="204" t="n"/>
      <c r="I70" s="204" t="n"/>
      <c r="J70" s="205" t="n">
        <v>7</v>
      </c>
      <c r="K70" s="205" t="n">
        <v>7</v>
      </c>
      <c r="L70" s="202" t="inlineStr">
        <is>
          <t>€/m2</t>
        </is>
      </c>
      <c r="M70" s="202" t="inlineStr">
        <is>
          <t>Guayaba</t>
        </is>
      </c>
      <c r="N70" s="202" t="inlineStr">
        <is>
          <t>Guayaba</t>
        </is>
      </c>
      <c r="O70" s="205" t="n"/>
      <c r="P70" s="205" t="n"/>
      <c r="Q70" s="202" t="n"/>
      <c r="R70" s="205" t="n"/>
      <c r="S70" s="205" t="n"/>
      <c r="T70" s="202" t="n"/>
      <c r="U70" s="205" t="n"/>
      <c r="V70" s="205" t="n"/>
      <c r="W70" s="202" t="n"/>
      <c r="X70" s="202" t="n"/>
    </row>
    <row r="71">
      <c r="A71" s="202" t="inlineStr">
        <is>
          <t>COSTE</t>
        </is>
      </c>
      <c r="B71" s="204" t="n">
        <v>86</v>
      </c>
      <c r="C71" s="202" t="inlineStr">
        <is>
          <t>pintor_color</t>
        </is>
      </c>
      <c r="D71" s="202" t="inlineStr">
        <is>
          <t>Pintor</t>
        </is>
      </c>
      <c r="E71" s="202" t="inlineStr">
        <is>
          <t>Color</t>
        </is>
      </c>
      <c r="F71" s="202" t="n"/>
      <c r="G71" s="204" t="n"/>
      <c r="H71" s="204" t="n"/>
      <c r="I71" s="204" t="n"/>
      <c r="J71" s="205" t="n">
        <v>10</v>
      </c>
      <c r="K71" s="205" t="n">
        <v>10</v>
      </c>
      <c r="L71" s="202" t="inlineStr">
        <is>
          <t>€/m2</t>
        </is>
      </c>
      <c r="M71" s="202" t="inlineStr">
        <is>
          <t>Guayaba</t>
        </is>
      </c>
      <c r="N71" s="202" t="inlineStr">
        <is>
          <t>Guayaba</t>
        </is>
      </c>
      <c r="O71" s="205" t="n"/>
      <c r="P71" s="205" t="n"/>
      <c r="Q71" s="202" t="n"/>
      <c r="R71" s="205" t="n"/>
      <c r="S71" s="205" t="n"/>
      <c r="T71" s="202" t="n"/>
      <c r="U71" s="205" t="n"/>
      <c r="V71" s="205" t="n"/>
      <c r="W71" s="202" t="n"/>
      <c r="X71" s="202" t="n"/>
    </row>
    <row r="72">
      <c r="A72" s="202" t="inlineStr">
        <is>
          <t>COSTE</t>
        </is>
      </c>
      <c r="B72" s="204" t="n">
        <v>87</v>
      </c>
      <c r="C72" s="202" t="inlineStr">
        <is>
          <t>pintor_1_capa_almacen_y_vinilo</t>
        </is>
      </c>
      <c r="D72" s="202" t="inlineStr">
        <is>
          <t>Pintor</t>
        </is>
      </c>
      <c r="E72" s="202" t="inlineStr">
        <is>
          <t>1 Capa</t>
        </is>
      </c>
      <c r="F72" s="202" t="inlineStr">
        <is>
          <t>Almacen y Vinilo</t>
        </is>
      </c>
      <c r="G72" s="204" t="n"/>
      <c r="H72" s="204" t="n"/>
      <c r="I72" s="204" t="n"/>
      <c r="J72" s="205" t="n">
        <v>4.5</v>
      </c>
      <c r="K72" s="205" t="n">
        <v>4.5</v>
      </c>
      <c r="L72" s="202" t="inlineStr">
        <is>
          <t>€/m2</t>
        </is>
      </c>
      <c r="M72" s="202" t="inlineStr">
        <is>
          <t>Guayaba</t>
        </is>
      </c>
      <c r="N72" s="202" t="inlineStr">
        <is>
          <t>Guayaba</t>
        </is>
      </c>
      <c r="O72" s="205" t="n"/>
      <c r="P72" s="205" t="n"/>
      <c r="Q72" s="202" t="n"/>
      <c r="R72" s="205" t="n"/>
      <c r="S72" s="205" t="n"/>
      <c r="T72" s="202" t="n"/>
      <c r="U72" s="205" t="n"/>
      <c r="V72" s="205" t="n"/>
      <c r="W72" s="202" t="n"/>
      <c r="X72" s="202" t="n"/>
    </row>
    <row r="73">
      <c r="A73" s="202" t="inlineStr">
        <is>
          <t>COSTE</t>
        </is>
      </c>
      <c r="B73" s="204" t="n">
        <v>88</v>
      </c>
      <c r="C73" s="202" t="inlineStr">
        <is>
          <t>pintor_barniz</t>
        </is>
      </c>
      <c r="D73" s="202" t="inlineStr">
        <is>
          <t>Pintor</t>
        </is>
      </c>
      <c r="E73" s="202" t="inlineStr">
        <is>
          <t>Barniz</t>
        </is>
      </c>
      <c r="F73" s="202" t="n"/>
      <c r="G73" s="204" t="n"/>
      <c r="H73" s="204" t="n"/>
      <c r="I73" s="204" t="n"/>
      <c r="J73" s="205" t="n">
        <v>11.5</v>
      </c>
      <c r="K73" s="205" t="n">
        <v>11.5</v>
      </c>
      <c r="L73" s="202" t="inlineStr">
        <is>
          <t>€/m2</t>
        </is>
      </c>
      <c r="M73" s="202" t="inlineStr">
        <is>
          <t>Guayaba</t>
        </is>
      </c>
      <c r="N73" s="202" t="inlineStr">
        <is>
          <t>Guayaba</t>
        </is>
      </c>
      <c r="O73" s="205" t="n"/>
      <c r="P73" s="205" t="n"/>
      <c r="Q73" s="202" t="n"/>
      <c r="R73" s="205" t="n"/>
      <c r="S73" s="205" t="n"/>
      <c r="T73" s="202" t="n"/>
      <c r="U73" s="205" t="n"/>
      <c r="V73" s="205" t="n"/>
      <c r="W73" s="202" t="n"/>
      <c r="X73" s="202" t="n"/>
    </row>
    <row r="74">
      <c r="A74" s="202" t="inlineStr">
        <is>
          <t>COSTE</t>
        </is>
      </c>
      <c r="B74" s="204" t="n">
        <v>89</v>
      </c>
      <c r="C74" s="202" t="inlineStr">
        <is>
          <t>lacado_blanco_lacado_blanco_mueble_montado</t>
        </is>
      </c>
      <c r="D74" s="202" t="inlineStr">
        <is>
          <t>Lacado</t>
        </is>
      </c>
      <c r="E74" s="202" t="inlineStr">
        <is>
          <t>Blanco</t>
        </is>
      </c>
      <c r="F74" s="202" t="inlineStr">
        <is>
          <t>Lacado blanco mueble montado</t>
        </is>
      </c>
      <c r="G74" s="204" t="n"/>
      <c r="H74" s="204" t="n"/>
      <c r="I74" s="204" t="n"/>
      <c r="J74" s="205" t="n">
        <v>40.7</v>
      </c>
      <c r="K74" s="205">
        <f>COMPARATIVA!G127</f>
        <v/>
      </c>
      <c r="L74" s="202" t="inlineStr">
        <is>
          <t>€/m2</t>
        </is>
      </c>
      <c r="M74" s="202" t="inlineStr">
        <is>
          <t>Gopecosa</t>
        </is>
      </c>
      <c r="N74" s="202" t="inlineStr">
        <is>
          <t>Gopecosa</t>
        </is>
      </c>
      <c r="O74" s="205" t="n"/>
      <c r="P74" s="205" t="n"/>
      <c r="Q74" s="202" t="n"/>
      <c r="R74" s="205" t="n"/>
      <c r="S74" s="205" t="n"/>
      <c r="T74" s="202" t="n"/>
      <c r="U74" s="205" t="n"/>
      <c r="V74" s="205" t="n"/>
      <c r="W74" s="202" t="n"/>
      <c r="X74" s="202" t="n"/>
    </row>
    <row r="75">
      <c r="A75" s="202" t="inlineStr">
        <is>
          <t>COSTE</t>
        </is>
      </c>
      <c r="B75" s="204" t="n">
        <v>90</v>
      </c>
      <c r="C75" s="202" t="inlineStr">
        <is>
          <t>lacado_color_lacado_color_mueble_montado</t>
        </is>
      </c>
      <c r="D75" s="202" t="inlineStr">
        <is>
          <t>Lacado</t>
        </is>
      </c>
      <c r="E75" s="202" t="inlineStr">
        <is>
          <t>Color</t>
        </is>
      </c>
      <c r="F75" s="202" t="inlineStr">
        <is>
          <t>Lacado Color mueble montado</t>
        </is>
      </c>
      <c r="G75" s="204" t="n"/>
      <c r="H75" s="204" t="n"/>
      <c r="I75" s="204" t="n"/>
      <c r="J75" s="205" t="n">
        <v>44.7</v>
      </c>
      <c r="K75" s="205">
        <f>COMPARATIVA!G128</f>
        <v/>
      </c>
      <c r="L75" s="202" t="inlineStr">
        <is>
          <t>€/m2</t>
        </is>
      </c>
      <c r="M75" s="202" t="inlineStr">
        <is>
          <t>Gopecosa</t>
        </is>
      </c>
      <c r="N75" s="202" t="inlineStr">
        <is>
          <t>Gopecosa</t>
        </is>
      </c>
      <c r="O75" s="205" t="n"/>
      <c r="P75" s="205" t="n"/>
      <c r="Q75" s="202" t="n"/>
      <c r="R75" s="205" t="n"/>
      <c r="S75" s="205" t="n"/>
      <c r="T75" s="202" t="n"/>
      <c r="U75" s="205" t="n"/>
      <c r="V75" s="205" t="n"/>
      <c r="W75" s="202" t="n"/>
      <c r="X75" s="202" t="n"/>
    </row>
  </sheetData>
  <mergeCells count="1">
    <mergeCell ref="A1:X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style="192" min="1" max="1"/>
    <col width="12" customWidth="1" style="192" min="2" max="2"/>
    <col width="40" customWidth="1" style="192" min="3" max="3"/>
    <col width="11" customWidth="1" style="192" min="4" max="4"/>
    <col width="22" customWidth="1" style="192" min="5" max="5"/>
    <col width="40" customWidth="1" style="192" min="6" max="6"/>
    <col width="6" customWidth="1" style="192" min="7" max="7"/>
    <col width="6" customWidth="1" style="192" min="8" max="8"/>
    <col width="14" customWidth="1" style="192" min="9" max="9"/>
    <col width="15" customWidth="1" style="192" min="10" max="10"/>
    <col width="13" customWidth="1" style="192" min="11" max="11"/>
    <col width="9" customWidth="1" style="192" min="12" max="12"/>
    <col width="18" customWidth="1" style="192" min="13" max="13"/>
    <col width="14" customWidth="1" style="192" min="14" max="14"/>
    <col width="23" customWidth="1" style="192" min="15" max="15"/>
    <col width="19" customWidth="1" style="192" min="16" max="16"/>
    <col width="16" customWidth="1" style="192" min="17" max="17"/>
    <col width="23" customWidth="1" style="192" min="18" max="18"/>
    <col width="19" customWidth="1" style="192" min="19" max="19"/>
    <col width="20" customWidth="1" style="192" min="20" max="20"/>
    <col width="23" customWidth="1" style="192" min="21" max="21"/>
    <col width="19" customWidth="1" style="192" min="22" max="22"/>
    <col width="16" customWidth="1" style="192" min="23" max="23"/>
    <col width="30" customWidth="1" style="192" min="24" max="24"/>
  </cols>
  <sheetData>
    <row r="1">
      <c r="A1" s="200" t="inlineStr">
        <is>
          <t>COMPARATIVA NORMALIZADA</t>
        </is>
      </c>
    </row>
    <row r="2">
      <c r="A2" s="203" t="inlineStr">
        <is>
          <t>source_sheet</t>
        </is>
      </c>
      <c r="B2" s="203" t="inlineStr">
        <is>
          <t>source_row</t>
        </is>
      </c>
      <c r="C2" s="203" t="inlineStr">
        <is>
          <t>item_key</t>
        </is>
      </c>
      <c r="D2" s="203" t="inlineStr">
        <is>
          <t>family</t>
        </is>
      </c>
      <c r="E2" s="203" t="inlineStr">
        <is>
          <t>subfamily_material</t>
        </is>
      </c>
      <c r="F2" s="203" t="inlineStr">
        <is>
          <t>description</t>
        </is>
      </c>
      <c r="G2" s="203" t="inlineStr">
        <is>
          <t>x_mm</t>
        </is>
      </c>
      <c r="H2" s="203" t="inlineStr">
        <is>
          <t>y_mm</t>
        </is>
      </c>
      <c r="I2" s="203" t="inlineStr">
        <is>
          <t>thickness_mm</t>
        </is>
      </c>
      <c r="J2" s="203" t="inlineStr">
        <is>
          <t>price_current</t>
        </is>
      </c>
      <c r="K2" s="203" t="inlineStr">
        <is>
          <t>price_raw</t>
        </is>
      </c>
      <c r="L2" s="203" t="inlineStr">
        <is>
          <t>unit</t>
        </is>
      </c>
      <c r="M2" s="203" t="inlineStr">
        <is>
          <t>provider_current</t>
        </is>
      </c>
      <c r="N2" s="203" t="inlineStr">
        <is>
          <t>provider_raw</t>
        </is>
      </c>
      <c r="O2" s="203" t="inlineStr">
        <is>
          <t>extra_1_value_current</t>
        </is>
      </c>
      <c r="P2" s="203" t="inlineStr">
        <is>
          <t>extra_1_value_raw</t>
        </is>
      </c>
      <c r="Q2" s="203" t="inlineStr">
        <is>
          <t>extra_1_label</t>
        </is>
      </c>
      <c r="R2" s="203" t="inlineStr">
        <is>
          <t>extra_2_value_current</t>
        </is>
      </c>
      <c r="S2" s="203" t="inlineStr">
        <is>
          <t>extra_2_value_raw</t>
        </is>
      </c>
      <c r="T2" s="203" t="inlineStr">
        <is>
          <t>extra_2_label</t>
        </is>
      </c>
      <c r="U2" s="203" t="inlineStr">
        <is>
          <t>extra_3_value_current</t>
        </is>
      </c>
      <c r="V2" s="203" t="inlineStr">
        <is>
          <t>extra_3_value_raw</t>
        </is>
      </c>
      <c r="W2" s="203" t="inlineStr">
        <is>
          <t>extra_3_label</t>
        </is>
      </c>
      <c r="X2" s="203" t="inlineStr">
        <is>
          <t>notes_or_extra</t>
        </is>
      </c>
    </row>
    <row r="3">
      <c r="A3" s="202" t="inlineStr">
        <is>
          <t>COMPARATIVA</t>
        </is>
      </c>
      <c r="B3" s="204" t="n">
        <v>3</v>
      </c>
      <c r="C3" s="202" t="inlineStr">
        <is>
          <t>personal_diseno</t>
        </is>
      </c>
      <c r="D3" s="202" t="inlineStr">
        <is>
          <t>Personal</t>
        </is>
      </c>
      <c r="E3" s="202" t="inlineStr">
        <is>
          <t>Diseño</t>
        </is>
      </c>
      <c r="F3" s="202" t="n"/>
      <c r="G3" s="204" t="n"/>
      <c r="H3" s="204" t="n"/>
      <c r="I3" s="204" t="n"/>
      <c r="J3" s="205" t="n">
        <v>21.26</v>
      </c>
      <c r="K3" s="205" t="n">
        <v>21.26</v>
      </c>
      <c r="L3" s="202" t="inlineStr">
        <is>
          <t>€/h</t>
        </is>
      </c>
      <c r="M3" s="202" t="inlineStr">
        <is>
          <t>ESWood</t>
        </is>
      </c>
      <c r="N3" s="202" t="inlineStr">
        <is>
          <t>ESWood</t>
        </is>
      </c>
      <c r="O3" s="205" t="n"/>
      <c r="P3" s="205" t="n"/>
      <c r="Q3" s="202" t="n"/>
      <c r="R3" s="205" t="n"/>
      <c r="S3" s="205" t="n"/>
      <c r="T3" s="202" t="n"/>
      <c r="U3" s="205" t="n"/>
      <c r="V3" s="205" t="n"/>
      <c r="W3" s="202" t="n"/>
      <c r="X3" s="202" t="n"/>
    </row>
    <row r="4">
      <c r="A4" s="202" t="inlineStr">
        <is>
          <t>COMPARATIVA</t>
        </is>
      </c>
      <c r="B4" s="204" t="n">
        <v>4</v>
      </c>
      <c r="C4" s="202" t="inlineStr">
        <is>
          <t>personal_fabricacion</t>
        </is>
      </c>
      <c r="D4" s="202" t="inlineStr">
        <is>
          <t>Personal</t>
        </is>
      </c>
      <c r="E4" s="202" t="inlineStr">
        <is>
          <t>Fabricación</t>
        </is>
      </c>
      <c r="F4" s="202" t="n"/>
      <c r="G4" s="204" t="n"/>
      <c r="H4" s="204" t="n"/>
      <c r="I4" s="204" t="n"/>
      <c r="J4" s="205" t="n">
        <v>22.4</v>
      </c>
      <c r="K4" s="205" t="n">
        <v>22.4</v>
      </c>
      <c r="L4" s="202" t="inlineStr">
        <is>
          <t>€/h</t>
        </is>
      </c>
      <c r="M4" s="202" t="inlineStr">
        <is>
          <t>ESWood</t>
        </is>
      </c>
      <c r="N4" s="202" t="inlineStr">
        <is>
          <t>ESWood</t>
        </is>
      </c>
      <c r="O4" s="205" t="n">
        <v>23.7</v>
      </c>
      <c r="P4" s="205" t="n">
        <v>23.7</v>
      </c>
      <c r="Q4" s="202" t="inlineStr">
        <is>
          <t>H. Extra</t>
        </is>
      </c>
      <c r="R4" s="205" t="n">
        <v>13.52</v>
      </c>
      <c r="S4" s="205" t="n">
        <v>13.52</v>
      </c>
      <c r="T4" s="202" t="inlineStr">
        <is>
          <t>1/2Dieta</t>
        </is>
      </c>
      <c r="U4" s="205" t="n">
        <v>67</v>
      </c>
      <c r="V4" s="205" t="n">
        <v>67</v>
      </c>
      <c r="W4" s="202" t="inlineStr">
        <is>
          <t>Dieta completa</t>
        </is>
      </c>
      <c r="X4" s="202" t="n"/>
    </row>
    <row r="5">
      <c r="A5" s="202" t="inlineStr">
        <is>
          <t>COMPARATIVA</t>
        </is>
      </c>
      <c r="B5" s="204" t="n">
        <v>5</v>
      </c>
      <c r="C5" s="202" t="inlineStr">
        <is>
          <t>personal_montaje</t>
        </is>
      </c>
      <c r="D5" s="202" t="inlineStr">
        <is>
          <t>Personal</t>
        </is>
      </c>
      <c r="E5" s="202" t="inlineStr">
        <is>
          <t>Montaje</t>
        </is>
      </c>
      <c r="F5" s="202" t="n"/>
      <c r="G5" s="204" t="n"/>
      <c r="H5" s="204" t="n"/>
      <c r="I5" s="204" t="n"/>
      <c r="J5" s="205" t="n">
        <v>19.23</v>
      </c>
      <c r="K5" s="205" t="n">
        <v>19.23</v>
      </c>
      <c r="L5" s="202" t="inlineStr">
        <is>
          <t>€/h</t>
        </is>
      </c>
      <c r="M5" s="202" t="inlineStr">
        <is>
          <t>ESWood</t>
        </is>
      </c>
      <c r="N5" s="202" t="inlineStr">
        <is>
          <t>ESWood</t>
        </is>
      </c>
      <c r="O5" s="205" t="n">
        <v>23.7</v>
      </c>
      <c r="P5" s="205" t="n">
        <v>23.7</v>
      </c>
      <c r="Q5" s="202" t="inlineStr">
        <is>
          <t>H. Extra</t>
        </is>
      </c>
      <c r="R5" s="205" t="n">
        <v>13.52</v>
      </c>
      <c r="S5" s="205" t="n">
        <v>13.52</v>
      </c>
      <c r="T5" s="202" t="inlineStr">
        <is>
          <t>1/2Dieta</t>
        </is>
      </c>
      <c r="U5" s="205" t="n">
        <v>67</v>
      </c>
      <c r="V5" s="205" t="n">
        <v>67</v>
      </c>
      <c r="W5" s="202" t="inlineStr">
        <is>
          <t>Dieta completa</t>
        </is>
      </c>
      <c r="X5" s="202" t="n"/>
    </row>
    <row r="6">
      <c r="A6" s="202" t="inlineStr">
        <is>
          <t>COMPARATIVA</t>
        </is>
      </c>
      <c r="B6" s="204" t="n">
        <v>6</v>
      </c>
      <c r="C6" s="202" t="inlineStr">
        <is>
          <t>personal_desmontaje</t>
        </is>
      </c>
      <c r="D6" s="202" t="inlineStr">
        <is>
          <t>Personal</t>
        </is>
      </c>
      <c r="E6" s="202" t="inlineStr">
        <is>
          <t>Desmontaje</t>
        </is>
      </c>
      <c r="F6" s="202" t="n"/>
      <c r="G6" s="204" t="n"/>
      <c r="H6" s="204" t="n"/>
      <c r="I6" s="204" t="n"/>
      <c r="J6" s="205" t="n">
        <v>19.23</v>
      </c>
      <c r="K6" s="205" t="n">
        <v>19.23</v>
      </c>
      <c r="L6" s="202" t="inlineStr">
        <is>
          <t>€/h</t>
        </is>
      </c>
      <c r="M6" s="202" t="inlineStr">
        <is>
          <t>ESWood</t>
        </is>
      </c>
      <c r="N6" s="202" t="inlineStr">
        <is>
          <t>ESWood</t>
        </is>
      </c>
      <c r="O6" s="205" t="n">
        <v>23.7</v>
      </c>
      <c r="P6" s="205" t="n">
        <v>23.7</v>
      </c>
      <c r="Q6" s="202" t="inlineStr">
        <is>
          <t>H. Extra</t>
        </is>
      </c>
      <c r="R6" s="205" t="n">
        <v>13.52</v>
      </c>
      <c r="S6" s="205" t="n">
        <v>13.52</v>
      </c>
      <c r="T6" s="202" t="inlineStr">
        <is>
          <t>1/2Dieta</t>
        </is>
      </c>
      <c r="U6" s="205" t="n">
        <v>67</v>
      </c>
      <c r="V6" s="205" t="n">
        <v>67</v>
      </c>
      <c r="W6" s="202" t="inlineStr">
        <is>
          <t>Dieta completa</t>
        </is>
      </c>
      <c r="X6" s="202" t="n"/>
    </row>
    <row r="7">
      <c r="A7" s="202" t="inlineStr">
        <is>
          <t>COMPARATIVA</t>
        </is>
      </c>
      <c r="B7" s="204" t="n">
        <v>7</v>
      </c>
      <c r="C7" s="202" t="inlineStr">
        <is>
          <t>personal_externo_montaje_desmontaje_externo_al_dia_german</t>
        </is>
      </c>
      <c r="D7" s="202" t="inlineStr">
        <is>
          <t>Personal</t>
        </is>
      </c>
      <c r="E7" s="202" t="inlineStr">
        <is>
          <t>Externo</t>
        </is>
      </c>
      <c r="F7" s="202" t="inlineStr">
        <is>
          <t>Montaje / Desmontaje Externo al dia (German)</t>
        </is>
      </c>
      <c r="G7" s="204" t="n"/>
      <c r="H7" s="204" t="n"/>
      <c r="I7" s="204" t="n"/>
      <c r="J7" s="205" t="n">
        <v>250</v>
      </c>
      <c r="K7" s="205" t="n">
        <v>250</v>
      </c>
      <c r="L7" s="202" t="inlineStr">
        <is>
          <t>dia</t>
        </is>
      </c>
      <c r="M7" s="202" t="inlineStr">
        <is>
          <t>German</t>
        </is>
      </c>
      <c r="N7" s="202" t="inlineStr">
        <is>
          <t>German</t>
        </is>
      </c>
      <c r="O7" s="205" t="n"/>
      <c r="P7" s="205" t="n"/>
      <c r="Q7" s="202" t="n"/>
      <c r="R7" s="205" t="n"/>
      <c r="S7" s="205" t="n"/>
      <c r="T7" s="202" t="n"/>
      <c r="U7" s="205" t="n"/>
      <c r="V7" s="205" t="n"/>
      <c r="W7" s="202" t="n"/>
      <c r="X7" s="202" t="n"/>
    </row>
    <row r="8">
      <c r="A8" s="202" t="inlineStr">
        <is>
          <t>COMPARATIVA</t>
        </is>
      </c>
      <c r="B8" s="204" t="n">
        <v>8</v>
      </c>
      <c r="C8" s="202" t="inlineStr">
        <is>
          <t>personal_coordinador_externo_montaje_desmontaje_coordinador_externo_al_dia_german</t>
        </is>
      </c>
      <c r="D8" s="202" t="inlineStr">
        <is>
          <t>Personal</t>
        </is>
      </c>
      <c r="E8" s="202" t="inlineStr">
        <is>
          <t xml:space="preserve">Coordinador Externo </t>
        </is>
      </c>
      <c r="F8" s="202" t="inlineStr">
        <is>
          <t>Montaje / Desmontaje Coordinador Externo al dia (German)</t>
        </is>
      </c>
      <c r="G8" s="204" t="n"/>
      <c r="H8" s="204" t="n"/>
      <c r="I8" s="204" t="n"/>
      <c r="J8" s="205" t="n">
        <v>300</v>
      </c>
      <c r="K8" s="205" t="n">
        <v>300</v>
      </c>
      <c r="L8" s="202" t="inlineStr">
        <is>
          <t>dia</t>
        </is>
      </c>
      <c r="M8" s="202" t="inlineStr">
        <is>
          <t>German</t>
        </is>
      </c>
      <c r="N8" s="202" t="inlineStr">
        <is>
          <t>German</t>
        </is>
      </c>
      <c r="O8" s="205" t="n"/>
      <c r="P8" s="205" t="n"/>
      <c r="Q8" s="202" t="n"/>
      <c r="R8" s="205" t="n"/>
      <c r="S8" s="205" t="n"/>
      <c r="T8" s="202" t="n"/>
      <c r="U8" s="205" t="n"/>
      <c r="V8" s="205" t="n"/>
      <c r="W8" s="202" t="n"/>
      <c r="X8" s="202" t="n"/>
    </row>
    <row r="9">
      <c r="A9" s="202" t="inlineStr">
        <is>
          <t>COMPARATIVA</t>
        </is>
      </c>
      <c r="B9" s="204" t="n">
        <v>9</v>
      </c>
      <c r="C9" s="202" t="inlineStr">
        <is>
          <t>personal_externo_herrameintas</t>
        </is>
      </c>
      <c r="D9" s="202" t="inlineStr">
        <is>
          <t>Personal</t>
        </is>
      </c>
      <c r="E9" s="202" t="inlineStr">
        <is>
          <t>Externo+Herrameintas</t>
        </is>
      </c>
      <c r="F9" s="202" t="n"/>
      <c r="G9" s="204" t="n"/>
      <c r="H9" s="204" t="n"/>
      <c r="I9" s="204" t="n"/>
      <c r="J9" s="205" t="n"/>
      <c r="K9" s="205" t="n"/>
      <c r="L9" s="202" t="n"/>
      <c r="M9" s="202" t="n"/>
      <c r="N9" s="202" t="n"/>
      <c r="O9" s="205" t="n"/>
      <c r="P9" s="205" t="n"/>
      <c r="Q9" s="202" t="n"/>
      <c r="R9" s="205" t="n"/>
      <c r="S9" s="205" t="n"/>
      <c r="T9" s="202" t="n"/>
      <c r="U9" s="205" t="n"/>
      <c r="V9" s="205" t="n"/>
      <c r="W9" s="202" t="n"/>
      <c r="X9" s="202" t="n"/>
    </row>
    <row r="10">
      <c r="A10" s="202" t="inlineStr">
        <is>
          <t>COMPARATIVA</t>
        </is>
      </c>
      <c r="B10" s="204" t="n">
        <v>10</v>
      </c>
      <c r="C10" s="202" t="inlineStr">
        <is>
          <t>personal_externo_herrameintas</t>
        </is>
      </c>
      <c r="D10" s="202" t="inlineStr">
        <is>
          <t>Personal</t>
        </is>
      </c>
      <c r="E10" s="202" t="inlineStr">
        <is>
          <t>Externo+Herrameintas</t>
        </is>
      </c>
      <c r="F10" s="202" t="n"/>
      <c r="G10" s="204" t="n"/>
      <c r="H10" s="204" t="n"/>
      <c r="I10" s="204" t="n"/>
      <c r="J10" s="205" t="n"/>
      <c r="K10" s="205" t="n"/>
      <c r="L10" s="202" t="n"/>
      <c r="M10" s="202" t="n"/>
      <c r="N10" s="202" t="n"/>
      <c r="O10" s="205" t="n"/>
      <c r="P10" s="205" t="n"/>
      <c r="Q10" s="202" t="n"/>
      <c r="R10" s="205" t="n"/>
      <c r="S10" s="205" t="n"/>
      <c r="T10" s="202" t="n"/>
      <c r="U10" s="205" t="n"/>
      <c r="V10" s="205" t="n"/>
      <c r="W10" s="202" t="n"/>
      <c r="X10" s="202" t="n"/>
    </row>
    <row r="11">
      <c r="A11" s="202" t="inlineStr">
        <is>
          <t>COMPARATIVA</t>
        </is>
      </c>
      <c r="B11" s="204" t="n">
        <v>11</v>
      </c>
      <c r="C11" s="202" t="inlineStr">
        <is>
          <t>cnc_corte</t>
        </is>
      </c>
      <c r="D11" s="202" t="inlineStr">
        <is>
          <t>CNC</t>
        </is>
      </c>
      <c r="E11" s="202" t="inlineStr">
        <is>
          <t>Corte</t>
        </is>
      </c>
      <c r="F11" s="202" t="n"/>
      <c r="G11" s="204" t="n"/>
      <c r="H11" s="204" t="n"/>
      <c r="I11" s="204" t="n"/>
      <c r="J11" s="205" t="n">
        <v>23</v>
      </c>
      <c r="K11" s="205" t="n">
        <v>23</v>
      </c>
      <c r="L11" s="202" t="inlineStr">
        <is>
          <t>Tablero</t>
        </is>
      </c>
      <c r="M11" s="202" t="inlineStr">
        <is>
          <t>ESWood</t>
        </is>
      </c>
      <c r="N11" s="202" t="inlineStr">
        <is>
          <t>ESWood</t>
        </is>
      </c>
      <c r="O11" s="205" t="n"/>
      <c r="P11" s="205" t="n"/>
      <c r="Q11" s="202" t="n"/>
      <c r="R11" s="205" t="n"/>
      <c r="S11" s="205" t="n"/>
      <c r="T11" s="202" t="n"/>
      <c r="U11" s="205" t="n"/>
      <c r="V11" s="205" t="n"/>
      <c r="W11" s="202" t="n"/>
      <c r="X11" s="202" t="n"/>
    </row>
    <row r="12">
      <c r="A12" s="202" t="inlineStr">
        <is>
          <t>COMPARATIVA</t>
        </is>
      </c>
      <c r="B12" s="204" t="n">
        <v>13</v>
      </c>
      <c r="C12" s="202" t="inlineStr">
        <is>
          <t>tablero_mel_blanca_melamina_blanca_8685_bs_kronos</t>
        </is>
      </c>
      <c r="D12" s="202" t="inlineStr">
        <is>
          <t>Tablero</t>
        </is>
      </c>
      <c r="E12" s="202" t="inlineStr">
        <is>
          <t>Mel. Blanca</t>
        </is>
      </c>
      <c r="F12" s="202" t="inlineStr">
        <is>
          <t xml:space="preserve">Melamina Blanca 8685 BS  KRONOS </t>
        </is>
      </c>
      <c r="G12" s="204" t="n">
        <v>2800</v>
      </c>
      <c r="H12" s="204" t="n">
        <v>2070</v>
      </c>
      <c r="I12" s="204" t="n">
        <v>16</v>
      </c>
      <c r="J12" s="205" t="n">
        <v>4.79</v>
      </c>
      <c r="K12" s="205" t="n">
        <v>4.79</v>
      </c>
      <c r="L12" s="202" t="inlineStr">
        <is>
          <t>€/m2</t>
        </is>
      </c>
      <c r="M12" s="202" t="inlineStr">
        <is>
          <t>Closa</t>
        </is>
      </c>
      <c r="N12" s="202" t="inlineStr">
        <is>
          <t>Closa</t>
        </is>
      </c>
      <c r="O12" s="205" t="n">
        <v>0.58</v>
      </c>
      <c r="P12" s="205" t="n">
        <v>0.58</v>
      </c>
      <c r="Q12" s="202" t="inlineStr">
        <is>
          <t xml:space="preserve"> Corte (+/-m2)</t>
        </is>
      </c>
      <c r="R12" s="205" t="n">
        <v>1.35</v>
      </c>
      <c r="S12" s="205" t="n">
        <v>1.35</v>
      </c>
      <c r="T12" s="202" t="inlineStr">
        <is>
          <t>Cadel (+/-m2)</t>
        </is>
      </c>
      <c r="U12" s="205" t="n"/>
      <c r="V12" s="205" t="n"/>
      <c r="W12" s="202" t="n"/>
      <c r="X12" s="202">
        <f>((D13/1000)*(E13/1000))*G13</f>
        <v/>
      </c>
    </row>
    <row r="13">
      <c r="A13" s="202" t="inlineStr">
        <is>
          <t>COMPARATIVA</t>
        </is>
      </c>
      <c r="B13" s="204" t="n">
        <v>14</v>
      </c>
      <c r="C13" s="202" t="inlineStr">
        <is>
          <t>tablero_mel_blanca_melamina_blanco_k_110_pe_2_c_sef_16_mm</t>
        </is>
      </c>
      <c r="D13" s="202" t="inlineStr">
        <is>
          <t>Tablero</t>
        </is>
      </c>
      <c r="E13" s="202" t="inlineStr">
        <is>
          <t>Mel. Blanca</t>
        </is>
      </c>
      <c r="F13" s="202" t="inlineStr">
        <is>
          <t>Melamina Blanco K-110 PE 2/c Sef 16 mm</t>
        </is>
      </c>
      <c r="G13" s="204" t="n">
        <v>2800</v>
      </c>
      <c r="H13" s="204" t="n">
        <v>2070</v>
      </c>
      <c r="I13" s="204" t="n">
        <v>16</v>
      </c>
      <c r="J13" s="205" t="n">
        <v>6.35</v>
      </c>
      <c r="K13" s="205" t="n">
        <v>6.35</v>
      </c>
      <c r="L13" s="202" t="inlineStr">
        <is>
          <t>€/m2</t>
        </is>
      </c>
      <c r="M13" s="202" t="inlineStr">
        <is>
          <t>Mausa</t>
        </is>
      </c>
      <c r="N13" s="202" t="inlineStr">
        <is>
          <t>Mausa</t>
        </is>
      </c>
      <c r="O13" s="205" t="n">
        <v>1.98</v>
      </c>
      <c r="P13" s="205" t="n">
        <v>1.98</v>
      </c>
      <c r="Q13" s="202" t="inlineStr">
        <is>
          <t>Corte (+/-m2)</t>
        </is>
      </c>
      <c r="R13" s="205" t="n"/>
      <c r="S13" s="205" t="n"/>
      <c r="T13" s="202" t="n"/>
      <c r="U13" s="205" t="n"/>
      <c r="V13" s="205" t="n"/>
      <c r="W13" s="202" t="n"/>
      <c r="X13" s="202">
        <f>((D14/1000)*(E14/1000))*G14</f>
        <v/>
      </c>
    </row>
    <row r="14">
      <c r="A14" s="202" t="inlineStr">
        <is>
          <t>COMPARATIVA</t>
        </is>
      </c>
      <c r="B14" s="204" t="n">
        <v>15</v>
      </c>
      <c r="C14" s="202" t="inlineStr">
        <is>
          <t>tablero_mel_branca_melamina_blanca_tiza_w908_st7</t>
        </is>
      </c>
      <c r="D14" s="202" t="inlineStr">
        <is>
          <t>Tablero</t>
        </is>
      </c>
      <c r="E14" s="202" t="inlineStr">
        <is>
          <t>Mel. Branca</t>
        </is>
      </c>
      <c r="F14" s="202" t="inlineStr">
        <is>
          <t>Melamina Blanca TIZA W908 ST7</t>
        </is>
      </c>
      <c r="G14" s="204" t="n">
        <v>2800</v>
      </c>
      <c r="H14" s="204" t="n">
        <v>2070</v>
      </c>
      <c r="I14" s="204" t="n">
        <v>16</v>
      </c>
      <c r="J14" s="205" t="n">
        <v>5.35</v>
      </c>
      <c r="K14" s="205" t="n">
        <v>5.35</v>
      </c>
      <c r="L14" s="202" t="inlineStr">
        <is>
          <t>€/m2</t>
        </is>
      </c>
      <c r="M14" s="202" t="inlineStr">
        <is>
          <t>Albertch</t>
        </is>
      </c>
      <c r="N14" s="202" t="inlineStr">
        <is>
          <t>Albertch</t>
        </is>
      </c>
      <c r="O14" s="205" t="n"/>
      <c r="P14" s="205" t="n"/>
      <c r="Q14" s="202" t="n"/>
      <c r="R14" s="205" t="n"/>
      <c r="S14" s="205" t="n"/>
      <c r="T14" s="202" t="n"/>
      <c r="U14" s="205" t="n">
        <v>5.16</v>
      </c>
      <c r="V14" s="205" t="n">
        <v>5.16</v>
      </c>
      <c r="W14" s="202" t="inlineStr">
        <is>
          <t>Paquete</t>
        </is>
      </c>
      <c r="X14" s="202">
        <f>((D15/1000)*(E15/1000))*G15</f>
        <v/>
      </c>
    </row>
    <row r="15">
      <c r="A15" s="202" t="inlineStr">
        <is>
          <t>COMPARATIVA</t>
        </is>
      </c>
      <c r="B15" s="204" t="n">
        <v>16</v>
      </c>
      <c r="C15" s="202" t="inlineStr">
        <is>
          <t>tablero_mel_blanca_melamina_blanca_8685_bs_kronos</t>
        </is>
      </c>
      <c r="D15" s="202" t="inlineStr">
        <is>
          <t>Tablero</t>
        </is>
      </c>
      <c r="E15" s="202" t="inlineStr">
        <is>
          <t>Mel. Blanca</t>
        </is>
      </c>
      <c r="F15" s="202" t="inlineStr">
        <is>
          <t xml:space="preserve">Melamina Blanca 8685 BS  KRONOS </t>
        </is>
      </c>
      <c r="G15" s="204" t="n">
        <v>2800</v>
      </c>
      <c r="H15" s="204" t="n">
        <v>2070</v>
      </c>
      <c r="I15" s="204" t="n">
        <v>16</v>
      </c>
      <c r="J15" s="205" t="n">
        <v>5.07</v>
      </c>
      <c r="K15" s="205" t="n">
        <v>5.07</v>
      </c>
      <c r="L15" s="202" t="inlineStr">
        <is>
          <t>€/m2</t>
        </is>
      </c>
      <c r="M15" s="202" t="inlineStr">
        <is>
          <t>Albertch</t>
        </is>
      </c>
      <c r="N15" s="202" t="inlineStr">
        <is>
          <t>Albertch</t>
        </is>
      </c>
      <c r="O15" s="205" t="n"/>
      <c r="P15" s="205" t="n"/>
      <c r="Q15" s="202" t="n"/>
      <c r="R15" s="205" t="n"/>
      <c r="S15" s="205" t="n"/>
      <c r="T15" s="202" t="n"/>
      <c r="U15" s="205" t="n">
        <v>4.9</v>
      </c>
      <c r="V15" s="205" t="n">
        <v>4.9</v>
      </c>
      <c r="W15" s="202" t="inlineStr">
        <is>
          <t>Paquete</t>
        </is>
      </c>
      <c r="X15" s="202">
        <f>((D16/1000)*(E16/1000))*G16</f>
        <v/>
      </c>
    </row>
    <row r="16">
      <c r="A16" s="202" t="inlineStr">
        <is>
          <t>COMPARATIVA</t>
        </is>
      </c>
      <c r="B16" s="204" t="n">
        <v>17</v>
      </c>
      <c r="C16" s="202" t="inlineStr">
        <is>
          <t>tablero_mel_negra_melamina_negra_16mm</t>
        </is>
      </c>
      <c r="D16" s="202" t="inlineStr">
        <is>
          <t>Tablero</t>
        </is>
      </c>
      <c r="E16" s="202" t="inlineStr">
        <is>
          <t>Mel. Negra</t>
        </is>
      </c>
      <c r="F16" s="202" t="inlineStr">
        <is>
          <t>Melamina Negra 16mm</t>
        </is>
      </c>
      <c r="G16" s="204" t="n">
        <v>2800</v>
      </c>
      <c r="H16" s="204" t="n">
        <v>2070</v>
      </c>
      <c r="I16" s="204" t="n">
        <v>16</v>
      </c>
      <c r="J16" s="205" t="n">
        <v>4.79</v>
      </c>
      <c r="K16" s="205" t="n">
        <v>4.79</v>
      </c>
      <c r="L16" s="202" t="inlineStr">
        <is>
          <t>€/m2</t>
        </is>
      </c>
      <c r="M16" s="202" t="inlineStr">
        <is>
          <t>Closa</t>
        </is>
      </c>
      <c r="N16" s="202" t="inlineStr">
        <is>
          <t>Closa</t>
        </is>
      </c>
      <c r="O16" s="205" t="n">
        <v>0.58</v>
      </c>
      <c r="P16" s="205" t="n">
        <v>0.58</v>
      </c>
      <c r="Q16" s="202" t="inlineStr">
        <is>
          <t xml:space="preserve"> Corte (+/-m2)</t>
        </is>
      </c>
      <c r="R16" s="205" t="n">
        <v>1.35</v>
      </c>
      <c r="S16" s="205" t="n">
        <v>1.35</v>
      </c>
      <c r="T16" s="202" t="inlineStr">
        <is>
          <t>Cadel (+/-m2)</t>
        </is>
      </c>
      <c r="U16" s="205" t="n"/>
      <c r="V16" s="205" t="n"/>
      <c r="W16" s="202" t="n"/>
      <c r="X16" s="202">
        <f>((D17/1000)*(E17/1000))*G17</f>
        <v/>
      </c>
    </row>
    <row r="17">
      <c r="A17" s="202" t="inlineStr">
        <is>
          <t>COMPARATIVA</t>
        </is>
      </c>
      <c r="B17" s="204" t="n">
        <v>18</v>
      </c>
      <c r="C17" s="202" t="inlineStr">
        <is>
          <t>tablero_mel_negra_melamina_negra_u_190_vl_16_mm</t>
        </is>
      </c>
      <c r="D17" s="202" t="inlineStr">
        <is>
          <t>Tablero</t>
        </is>
      </c>
      <c r="E17" s="202" t="inlineStr">
        <is>
          <t>Mel. Negra</t>
        </is>
      </c>
      <c r="F17" s="202" t="inlineStr">
        <is>
          <t>Melamina Negra U-190 VL 16 mm</t>
        </is>
      </c>
      <c r="G17" s="204" t="n">
        <v>2800</v>
      </c>
      <c r="H17" s="204" t="n">
        <v>2070</v>
      </c>
      <c r="I17" s="204" t="n">
        <v>16</v>
      </c>
      <c r="J17" s="205" t="n"/>
      <c r="K17" s="205" t="n"/>
      <c r="L17" s="202" t="inlineStr">
        <is>
          <t>€/m2</t>
        </is>
      </c>
      <c r="M17" s="202" t="inlineStr">
        <is>
          <t>Mausa</t>
        </is>
      </c>
      <c r="N17" s="202" t="inlineStr">
        <is>
          <t>Mausa</t>
        </is>
      </c>
      <c r="O17" s="205" t="n">
        <v>1.98</v>
      </c>
      <c r="P17" s="205" t="n">
        <v>1.98</v>
      </c>
      <c r="Q17" s="202" t="inlineStr">
        <is>
          <t>Corte (+/-m2)</t>
        </is>
      </c>
      <c r="R17" s="205" t="n"/>
      <c r="S17" s="205" t="n"/>
      <c r="T17" s="202" t="n"/>
      <c r="U17" s="205" t="n"/>
      <c r="V17" s="205" t="n"/>
      <c r="W17" s="202" t="n"/>
      <c r="X17" s="202">
        <f>((D18/1000)*(E18/1000))*G18</f>
        <v/>
      </c>
    </row>
    <row r="18">
      <c r="A18" s="202" t="inlineStr">
        <is>
          <t>COMPARATIVA</t>
        </is>
      </c>
      <c r="B18" s="204" t="n">
        <v>19</v>
      </c>
      <c r="C18" s="202" t="inlineStr">
        <is>
          <t>tablero_mel_negra_melamina_negra_0190_bs_kronos</t>
        </is>
      </c>
      <c r="D18" s="202" t="inlineStr">
        <is>
          <t>Tablero</t>
        </is>
      </c>
      <c r="E18" s="202" t="inlineStr">
        <is>
          <t>Mel. Negra</t>
        </is>
      </c>
      <c r="F18" s="202" t="inlineStr">
        <is>
          <t>Melamina Negra 0190 BS KRONOS</t>
        </is>
      </c>
      <c r="G18" s="204" t="n">
        <v>2850</v>
      </c>
      <c r="H18" s="204" t="n">
        <v>2100</v>
      </c>
      <c r="I18" s="204" t="n">
        <v>16</v>
      </c>
      <c r="J18" s="205" t="n">
        <v>5.07</v>
      </c>
      <c r="K18" s="205" t="n">
        <v>5.07</v>
      </c>
      <c r="L18" s="202" t="inlineStr">
        <is>
          <t>€/m2</t>
        </is>
      </c>
      <c r="M18" s="202" t="inlineStr">
        <is>
          <t>Albertch</t>
        </is>
      </c>
      <c r="N18" s="202" t="inlineStr">
        <is>
          <t>Albertch</t>
        </is>
      </c>
      <c r="O18" s="205" t="n"/>
      <c r="P18" s="205" t="n"/>
      <c r="Q18" s="202" t="n"/>
      <c r="R18" s="205" t="n"/>
      <c r="S18" s="205" t="n"/>
      <c r="T18" s="202" t="n"/>
      <c r="U18" s="205" t="n">
        <v>4.9</v>
      </c>
      <c r="V18" s="205" t="n">
        <v>4.9</v>
      </c>
      <c r="W18" s="202" t="inlineStr">
        <is>
          <t>Paquete</t>
        </is>
      </c>
      <c r="X18" s="202">
        <f>((D19/1000)*(E19/1000))*G19</f>
        <v/>
      </c>
    </row>
    <row r="19">
      <c r="A19" s="202" t="inlineStr">
        <is>
          <t>COMPARATIVA</t>
        </is>
      </c>
      <c r="B19" s="204" t="n">
        <v>20</v>
      </c>
      <c r="C19" s="202" t="inlineStr">
        <is>
          <t>tablero_mel_velvet_melamina_velvet_oak_d_2693_mw_16_mm</t>
        </is>
      </c>
      <c r="D19" s="202" t="inlineStr">
        <is>
          <t>Tablero</t>
        </is>
      </c>
      <c r="E19" s="202" t="inlineStr">
        <is>
          <t>Mel. Velvet</t>
        </is>
      </c>
      <c r="F19" s="202" t="inlineStr">
        <is>
          <t>Melamina Velvet Oak D-2693 MW 16 mm</t>
        </is>
      </c>
      <c r="G19" s="204" t="n">
        <v>2800</v>
      </c>
      <c r="H19" s="204" t="n">
        <v>2070</v>
      </c>
      <c r="I19" s="204" t="n">
        <v>16</v>
      </c>
      <c r="J19" s="205" t="n"/>
      <c r="K19" s="205" t="n"/>
      <c r="L19" s="202" t="inlineStr">
        <is>
          <t>€/m2</t>
        </is>
      </c>
      <c r="M19" s="202" t="inlineStr">
        <is>
          <t>Mausa</t>
        </is>
      </c>
      <c r="N19" s="202" t="inlineStr">
        <is>
          <t>Mausa</t>
        </is>
      </c>
      <c r="O19" s="205" t="n">
        <v>1.98</v>
      </c>
      <c r="P19" s="205" t="n">
        <v>1.98</v>
      </c>
      <c r="Q19" s="202" t="inlineStr">
        <is>
          <t>Corte (+/-m2)</t>
        </is>
      </c>
      <c r="R19" s="205" t="n"/>
      <c r="S19" s="205" t="n"/>
      <c r="T19" s="202" t="n"/>
      <c r="U19" s="205" t="n"/>
      <c r="V19" s="205" t="n"/>
      <c r="W19" s="202" t="n"/>
      <c r="X19" s="202">
        <f>((D20/1000)*(E20/1000))*G20</f>
        <v/>
      </c>
    </row>
    <row r="20">
      <c r="A20" s="202" t="inlineStr">
        <is>
          <t>COMPARATIVA</t>
        </is>
      </c>
      <c r="B20" s="204" t="n">
        <v>21</v>
      </c>
      <c r="C20" s="202" t="inlineStr">
        <is>
          <t>tablero_mel_niagra_melamina_niagara_oak_d_2240_vl_16_mm</t>
        </is>
      </c>
      <c r="D20" s="202" t="inlineStr">
        <is>
          <t>Tablero</t>
        </is>
      </c>
      <c r="E20" s="202" t="inlineStr">
        <is>
          <t>Mel. Niagra</t>
        </is>
      </c>
      <c r="F20" s="202" t="inlineStr">
        <is>
          <t>Melamina Niagara Oak D-2240 VL 16 mm</t>
        </is>
      </c>
      <c r="G20" s="204" t="n">
        <v>2800</v>
      </c>
      <c r="H20" s="204" t="n">
        <v>2070</v>
      </c>
      <c r="I20" s="204" t="n">
        <v>16</v>
      </c>
      <c r="J20" s="205" t="n">
        <v>9.800000000000001</v>
      </c>
      <c r="K20" s="205" t="n">
        <v>9.800000000000001</v>
      </c>
      <c r="L20" s="202" t="inlineStr">
        <is>
          <t>€/m2</t>
        </is>
      </c>
      <c r="M20" s="202" t="inlineStr">
        <is>
          <t>Mausa</t>
        </is>
      </c>
      <c r="N20" s="202" t="inlineStr">
        <is>
          <t>Mausa</t>
        </is>
      </c>
      <c r="O20" s="205" t="n">
        <v>1.98</v>
      </c>
      <c r="P20" s="205" t="n">
        <v>1.98</v>
      </c>
      <c r="Q20" s="202" t="inlineStr">
        <is>
          <t>Corte (+/-m2)</t>
        </is>
      </c>
      <c r="R20" s="205" t="n"/>
      <c r="S20" s="205" t="n"/>
      <c r="T20" s="202" t="n"/>
      <c r="U20" s="205" t="n"/>
      <c r="V20" s="205" t="n"/>
      <c r="W20" s="202" t="n"/>
      <c r="X20" s="202">
        <f>((D21/1000)*(E21/1000))*G21</f>
        <v/>
      </c>
    </row>
    <row r="21">
      <c r="A21" s="202" t="inlineStr">
        <is>
          <t>COMPARATIVA</t>
        </is>
      </c>
      <c r="B21" s="204" t="n">
        <v>22</v>
      </c>
      <c r="C21" s="202" t="inlineStr">
        <is>
          <t>tablero_mel_papaya_melamina_monument_papaya_luxor_19_mm</t>
        </is>
      </c>
      <c r="D21" s="202" t="inlineStr">
        <is>
          <t>Tablero</t>
        </is>
      </c>
      <c r="E21" s="202" t="inlineStr">
        <is>
          <t>Mel. Papaya</t>
        </is>
      </c>
      <c r="F21" s="202" t="inlineStr">
        <is>
          <t>Melamina Monument Papaya Luxor 19 mm</t>
        </is>
      </c>
      <c r="G21" s="204" t="n">
        <v>2850</v>
      </c>
      <c r="H21" s="204" t="n">
        <v>2100</v>
      </c>
      <c r="I21" s="204" t="n">
        <v>19</v>
      </c>
      <c r="J21" s="205" t="n"/>
      <c r="K21" s="205" t="n"/>
      <c r="L21" s="202" t="inlineStr">
        <is>
          <t>€/m2</t>
        </is>
      </c>
      <c r="M21" s="202" t="inlineStr">
        <is>
          <t>Mausa</t>
        </is>
      </c>
      <c r="N21" s="202" t="inlineStr">
        <is>
          <t>Mausa</t>
        </is>
      </c>
      <c r="O21" s="205" t="n">
        <v>1.98</v>
      </c>
      <c r="P21" s="205" t="n">
        <v>1.98</v>
      </c>
      <c r="Q21" s="202" t="inlineStr">
        <is>
          <t>Corte (+/-m2)</t>
        </is>
      </c>
      <c r="R21" s="205" t="n"/>
      <c r="S21" s="205" t="n"/>
      <c r="T21" s="202" t="n"/>
      <c r="U21" s="205" t="n"/>
      <c r="V21" s="205" t="n"/>
      <c r="W21" s="202" t="n"/>
      <c r="X21" s="202">
        <f>((D22/1000)*(E22/1000))*G22</f>
        <v/>
      </c>
    </row>
    <row r="22">
      <c r="A22" s="202" t="inlineStr">
        <is>
          <t>COMPARATIVA</t>
        </is>
      </c>
      <c r="B22" s="204" t="n">
        <v>24</v>
      </c>
      <c r="C22" s="202" t="inlineStr">
        <is>
          <t>tablero_aglomerado_aglomerado_1a_standard_16mm</t>
        </is>
      </c>
      <c r="D22" s="202" t="inlineStr">
        <is>
          <t>Tablero</t>
        </is>
      </c>
      <c r="E22" s="202" t="inlineStr">
        <is>
          <t>Aglomerado</t>
        </is>
      </c>
      <c r="F22" s="202" t="inlineStr">
        <is>
          <t>Aglomerado 1a standard 16mm</t>
        </is>
      </c>
      <c r="G22" s="204" t="n">
        <v>2800</v>
      </c>
      <c r="H22" s="204" t="n">
        <v>2070</v>
      </c>
      <c r="I22" s="204" t="n">
        <v>16</v>
      </c>
      <c r="J22" s="205" t="n">
        <v>3.78</v>
      </c>
      <c r="K22" s="205" t="n">
        <v>3.78</v>
      </c>
      <c r="L22" s="202" t="inlineStr">
        <is>
          <t>€/m2</t>
        </is>
      </c>
      <c r="M22" s="202" t="inlineStr">
        <is>
          <t>Closa</t>
        </is>
      </c>
      <c r="N22" s="202" t="inlineStr">
        <is>
          <t>Closa</t>
        </is>
      </c>
      <c r="O22" s="205" t="n">
        <v>0.58</v>
      </c>
      <c r="P22" s="205" t="n">
        <v>0.58</v>
      </c>
      <c r="Q22" s="202" t="inlineStr">
        <is>
          <t xml:space="preserve"> Corte (+/-m2)</t>
        </is>
      </c>
      <c r="R22" s="205" t="n">
        <v>1.35</v>
      </c>
      <c r="S22" s="205" t="n">
        <v>1.35</v>
      </c>
      <c r="T22" s="202" t="inlineStr">
        <is>
          <t>Cadel (+/-m2)</t>
        </is>
      </c>
      <c r="U22" s="205" t="n"/>
      <c r="V22" s="205" t="n"/>
      <c r="W22" s="202" t="n"/>
      <c r="X22" s="202">
        <f>((D24/1000)*(E24/1000))*G24</f>
        <v/>
      </c>
    </row>
    <row r="23">
      <c r="A23" s="202" t="inlineStr">
        <is>
          <t>COMPARATIVA</t>
        </is>
      </c>
      <c r="B23" s="204" t="n">
        <v>25</v>
      </c>
      <c r="C23" s="202" t="inlineStr">
        <is>
          <t>tablero_aglomerado_aglomerado_1a_standard_16mm</t>
        </is>
      </c>
      <c r="D23" s="202" t="inlineStr">
        <is>
          <t>Tablero</t>
        </is>
      </c>
      <c r="E23" s="202" t="inlineStr">
        <is>
          <t>Aglomerado</t>
        </is>
      </c>
      <c r="F23" s="202" t="inlineStr">
        <is>
          <t>Aglomerado 1a standard 16mm</t>
        </is>
      </c>
      <c r="G23" s="204" t="n">
        <v>2800</v>
      </c>
      <c r="H23" s="204" t="n">
        <v>2070</v>
      </c>
      <c r="I23" s="204" t="n">
        <v>16</v>
      </c>
      <c r="J23" s="205" t="n">
        <v>3.69</v>
      </c>
      <c r="K23" s="205" t="n">
        <v>3.69</v>
      </c>
      <c r="L23" s="202" t="inlineStr">
        <is>
          <t>€/m2</t>
        </is>
      </c>
      <c r="M23" s="202" t="inlineStr">
        <is>
          <t xml:space="preserve">Albaertch </t>
        </is>
      </c>
      <c r="N23" s="202" t="inlineStr">
        <is>
          <t xml:space="preserve">Albaertch </t>
        </is>
      </c>
      <c r="O23" s="205" t="n"/>
      <c r="P23" s="205" t="n"/>
      <c r="Q23" s="202" t="n"/>
      <c r="R23" s="205" t="n"/>
      <c r="S23" s="205" t="n"/>
      <c r="T23" s="202" t="n"/>
      <c r="U23" s="205" t="n">
        <v>3.57</v>
      </c>
      <c r="V23" s="205" t="n">
        <v>3.57</v>
      </c>
      <c r="W23" s="202" t="inlineStr">
        <is>
          <t>Paquete</t>
        </is>
      </c>
      <c r="X23" s="202">
        <f>((D25/1000)*(E25/1000))*G25</f>
        <v/>
      </c>
    </row>
    <row r="24">
      <c r="A24" s="202" t="inlineStr">
        <is>
          <t>COMPARATIVA</t>
        </is>
      </c>
      <c r="B24" s="204" t="n">
        <v>26</v>
      </c>
      <c r="C24" s="202" t="inlineStr">
        <is>
          <t>tablero_aglomerado_aglomerado_1a_standard_16mm</t>
        </is>
      </c>
      <c r="D24" s="202" t="inlineStr">
        <is>
          <t>Tablero</t>
        </is>
      </c>
      <c r="E24" s="202" t="inlineStr">
        <is>
          <t>Aglomerado</t>
        </is>
      </c>
      <c r="F24" s="202" t="inlineStr">
        <is>
          <t>Aglomerado 1a standard 16mm</t>
        </is>
      </c>
      <c r="G24" s="204" t="n">
        <v>2800</v>
      </c>
      <c r="H24" s="204" t="n">
        <v>2070</v>
      </c>
      <c r="I24" s="204" t="n">
        <v>16</v>
      </c>
      <c r="J24" s="205" t="n">
        <v>4.02</v>
      </c>
      <c r="K24" s="205" t="n">
        <v>4.02</v>
      </c>
      <c r="L24" s="202" t="inlineStr">
        <is>
          <t>€/m2</t>
        </is>
      </c>
      <c r="M24" s="202" t="inlineStr">
        <is>
          <t>Gabarro</t>
        </is>
      </c>
      <c r="N24" s="202" t="inlineStr">
        <is>
          <t>Gabarro</t>
        </is>
      </c>
      <c r="O24" s="205" t="n">
        <v>1.81</v>
      </c>
      <c r="P24" s="205">
        <f>425.35/235</f>
        <v/>
      </c>
      <c r="Q24" s="202" t="inlineStr">
        <is>
          <t>Corte (+/-m2)</t>
        </is>
      </c>
      <c r="R24" s="205" t="n">
        <v>1.448006756756757</v>
      </c>
      <c r="S24" s="205">
        <f>428.61/296</f>
        <v/>
      </c>
      <c r="T24" s="202" t="inlineStr">
        <is>
          <t>Cadel (+/-m2)</t>
        </is>
      </c>
      <c r="U24" s="205" t="n"/>
      <c r="V24" s="205" t="n"/>
      <c r="W24" s="202" t="n"/>
      <c r="X24" s="202">
        <f>((D26/1000)*(E26/1000))*G26</f>
        <v/>
      </c>
    </row>
    <row r="25">
      <c r="A25" s="202" t="inlineStr">
        <is>
          <t>COMPARATIVA</t>
        </is>
      </c>
      <c r="B25" s="204" t="n">
        <v>27</v>
      </c>
      <c r="C25" s="202" t="inlineStr">
        <is>
          <t>tablero_aglomerado_aglomerado_1a_standard_16mm</t>
        </is>
      </c>
      <c r="D25" s="202" t="inlineStr">
        <is>
          <t>Tablero</t>
        </is>
      </c>
      <c r="E25" s="202" t="inlineStr">
        <is>
          <t>Aglomerado</t>
        </is>
      </c>
      <c r="F25" s="202" t="inlineStr">
        <is>
          <t>Aglomerado 1a standard 16mm</t>
        </is>
      </c>
      <c r="G25" s="204" t="n">
        <v>2800</v>
      </c>
      <c r="H25" s="204" t="n">
        <v>2070</v>
      </c>
      <c r="I25" s="204" t="n">
        <v>16</v>
      </c>
      <c r="J25" s="205" t="n">
        <v>4.65</v>
      </c>
      <c r="K25" s="205" t="n">
        <v>4.65</v>
      </c>
      <c r="L25" s="202" t="inlineStr">
        <is>
          <t>€/m2</t>
        </is>
      </c>
      <c r="M25" s="202" t="inlineStr">
        <is>
          <t>Mausa</t>
        </is>
      </c>
      <c r="N25" s="202" t="inlineStr">
        <is>
          <t>Mausa</t>
        </is>
      </c>
      <c r="O25" s="205" t="n">
        <v>1.98</v>
      </c>
      <c r="P25" s="205" t="n">
        <v>1.98</v>
      </c>
      <c r="Q25" s="202" t="inlineStr">
        <is>
          <t>Corte (+/-m2)</t>
        </is>
      </c>
      <c r="R25" s="205" t="n"/>
      <c r="S25" s="205" t="n"/>
      <c r="T25" s="202" t="n"/>
      <c r="U25" s="205" t="n"/>
      <c r="V25" s="205" t="n"/>
      <c r="W25" s="202" t="n"/>
      <c r="X25" s="202">
        <f>((D27/1000)*(E27/1000))*G27</f>
        <v/>
      </c>
    </row>
    <row r="26">
      <c r="A26" s="202" t="inlineStr">
        <is>
          <t>COMPARATIVA</t>
        </is>
      </c>
      <c r="B26" s="204" t="n">
        <v>28</v>
      </c>
      <c r="C26" s="202" t="inlineStr">
        <is>
          <t>tablero_aglomerado_aglomerado_1a_standard_16mm</t>
        </is>
      </c>
      <c r="D26" s="202" t="inlineStr">
        <is>
          <t>Tablero</t>
        </is>
      </c>
      <c r="E26" s="202" t="inlineStr">
        <is>
          <t>Aglomerado</t>
        </is>
      </c>
      <c r="F26" s="202" t="inlineStr">
        <is>
          <t>Aglomerado 1a standard 16mm</t>
        </is>
      </c>
      <c r="G26" s="204" t="n">
        <v>3660</v>
      </c>
      <c r="H26" s="204" t="n">
        <v>2070</v>
      </c>
      <c r="I26" s="204" t="n">
        <v>16</v>
      </c>
      <c r="J26" s="205" t="n">
        <v>3.78</v>
      </c>
      <c r="K26" s="205" t="n">
        <v>3.78</v>
      </c>
      <c r="L26" s="202" t="inlineStr">
        <is>
          <t>€/m2</t>
        </is>
      </c>
      <c r="M26" s="202" t="inlineStr">
        <is>
          <t>Closa</t>
        </is>
      </c>
      <c r="N26" s="202" t="inlineStr">
        <is>
          <t>Closa</t>
        </is>
      </c>
      <c r="O26" s="205" t="n">
        <v>0.58</v>
      </c>
      <c r="P26" s="205" t="n">
        <v>0.58</v>
      </c>
      <c r="Q26" s="202" t="inlineStr">
        <is>
          <t xml:space="preserve"> Corte (+/-m2)</t>
        </is>
      </c>
      <c r="R26" s="205" t="n">
        <v>1.35</v>
      </c>
      <c r="S26" s="205" t="n">
        <v>1.35</v>
      </c>
      <c r="T26" s="202" t="inlineStr">
        <is>
          <t>Cadel (+/-m2)</t>
        </is>
      </c>
      <c r="U26" s="205" t="n"/>
      <c r="V26" s="205" t="n"/>
      <c r="W26" s="202" t="n"/>
      <c r="X26" s="202">
        <f>((D28/1000)*(E28/1000))*G28</f>
        <v/>
      </c>
    </row>
    <row r="27">
      <c r="A27" s="202" t="inlineStr">
        <is>
          <t>COMPARATIVA</t>
        </is>
      </c>
      <c r="B27" s="204" t="n">
        <v>29</v>
      </c>
      <c r="C27" s="202" t="inlineStr">
        <is>
          <t>tablero_aglomerado_aglomerado_1a_standard_16mm</t>
        </is>
      </c>
      <c r="D27" s="202" t="inlineStr">
        <is>
          <t>Tablero</t>
        </is>
      </c>
      <c r="E27" s="202" t="inlineStr">
        <is>
          <t>Aglomerado</t>
        </is>
      </c>
      <c r="F27" s="202" t="inlineStr">
        <is>
          <t>Aglomerado 1a standard 16mm</t>
        </is>
      </c>
      <c r="G27" s="204" t="n">
        <v>3660</v>
      </c>
      <c r="H27" s="204" t="n">
        <v>2070</v>
      </c>
      <c r="I27" s="204" t="n">
        <v>16</v>
      </c>
      <c r="J27" s="205" t="n">
        <v>4.02</v>
      </c>
      <c r="K27" s="205" t="n">
        <v>4.02</v>
      </c>
      <c r="L27" s="202" t="inlineStr">
        <is>
          <t>€/m2</t>
        </is>
      </c>
      <c r="M27" s="202" t="inlineStr">
        <is>
          <t>Gabarro</t>
        </is>
      </c>
      <c r="N27" s="202" t="inlineStr">
        <is>
          <t>Gabarro</t>
        </is>
      </c>
      <c r="O27" s="205" t="n">
        <v>1.81</v>
      </c>
      <c r="P27" s="205">
        <f>425.35/235</f>
        <v/>
      </c>
      <c r="Q27" s="202" t="inlineStr">
        <is>
          <t>Corte (+/-m2)</t>
        </is>
      </c>
      <c r="R27" s="205" t="n">
        <v>1.448006756756757</v>
      </c>
      <c r="S27" s="205">
        <f>428.61/296</f>
        <v/>
      </c>
      <c r="T27" s="202" t="inlineStr">
        <is>
          <t>Cadel (+/-m2)</t>
        </is>
      </c>
      <c r="U27" s="205" t="n"/>
      <c r="V27" s="205" t="n"/>
      <c r="W27" s="202" t="n"/>
      <c r="X27" s="202">
        <f>((D29/1000)*(E29/1000))*G29</f>
        <v/>
      </c>
    </row>
    <row r="28">
      <c r="A28" s="202" t="inlineStr">
        <is>
          <t>COMPARATIVA</t>
        </is>
      </c>
      <c r="B28" s="204" t="n">
        <v>30</v>
      </c>
      <c r="C28" s="202" t="inlineStr">
        <is>
          <t>tablero_aglomerado_aglomerado_1a_standard_16mm</t>
        </is>
      </c>
      <c r="D28" s="202" t="inlineStr">
        <is>
          <t>Tablero</t>
        </is>
      </c>
      <c r="E28" s="202" t="inlineStr">
        <is>
          <t>Aglomerado</t>
        </is>
      </c>
      <c r="F28" s="202" t="inlineStr">
        <is>
          <t>Aglomerado 1a standard 16mm</t>
        </is>
      </c>
      <c r="G28" s="204" t="n">
        <v>3660</v>
      </c>
      <c r="H28" s="204" t="n">
        <v>2070</v>
      </c>
      <c r="I28" s="204" t="n">
        <v>16</v>
      </c>
      <c r="J28" s="205" t="n">
        <v>4.65</v>
      </c>
      <c r="K28" s="205" t="n">
        <v>4.65</v>
      </c>
      <c r="L28" s="202" t="inlineStr">
        <is>
          <t>€/m2</t>
        </is>
      </c>
      <c r="M28" s="202" t="inlineStr">
        <is>
          <t>Mausa</t>
        </is>
      </c>
      <c r="N28" s="202" t="inlineStr">
        <is>
          <t>Mausa</t>
        </is>
      </c>
      <c r="O28" s="205" t="n">
        <v>1.98</v>
      </c>
      <c r="P28" s="205" t="n">
        <v>1.98</v>
      </c>
      <c r="Q28" s="202" t="inlineStr">
        <is>
          <t>Corte (+/-m2)</t>
        </is>
      </c>
      <c r="R28" s="205" t="n"/>
      <c r="S28" s="205" t="n"/>
      <c r="T28" s="202" t="n"/>
      <c r="U28" s="205" t="n"/>
      <c r="V28" s="205" t="n"/>
      <c r="W28" s="202" t="n"/>
      <c r="X28" s="202">
        <f>((D30/1000)*(E30/1000))*G30</f>
        <v/>
      </c>
    </row>
    <row r="29">
      <c r="A29" s="202" t="inlineStr">
        <is>
          <t>COMPARATIVA</t>
        </is>
      </c>
      <c r="B29" s="204" t="n">
        <v>31</v>
      </c>
      <c r="C29" s="202" t="inlineStr">
        <is>
          <t>tablero_aglomerado_aglomerado_1a_standard_16mm</t>
        </is>
      </c>
      <c r="D29" s="202" t="inlineStr">
        <is>
          <t>Tablero</t>
        </is>
      </c>
      <c r="E29" s="202" t="inlineStr">
        <is>
          <t>Aglomerado</t>
        </is>
      </c>
      <c r="F29" s="202" t="inlineStr">
        <is>
          <t>Aglomerado 1a standard 16mm</t>
        </is>
      </c>
      <c r="G29" s="204" t="n">
        <v>3050</v>
      </c>
      <c r="H29" s="204" t="n">
        <v>2070</v>
      </c>
      <c r="I29" s="204" t="n">
        <v>16</v>
      </c>
      <c r="J29" s="205" t="n">
        <v>4.61</v>
      </c>
      <c r="K29" s="205" t="n">
        <v>4.61</v>
      </c>
      <c r="L29" s="202" t="inlineStr">
        <is>
          <t>€/m2</t>
        </is>
      </c>
      <c r="M29" s="202" t="inlineStr">
        <is>
          <t>Gabarro</t>
        </is>
      </c>
      <c r="N29" s="202" t="inlineStr">
        <is>
          <t>Gabarro</t>
        </is>
      </c>
      <c r="O29" s="205" t="n">
        <v>1.81</v>
      </c>
      <c r="P29" s="205">
        <f>425.35/235</f>
        <v/>
      </c>
      <c r="Q29" s="202" t="inlineStr">
        <is>
          <t>Corte (+/-m2)</t>
        </is>
      </c>
      <c r="R29" s="205" t="n">
        <v>1.448006756756757</v>
      </c>
      <c r="S29" s="205">
        <f>428.61/296</f>
        <v/>
      </c>
      <c r="T29" s="202" t="inlineStr">
        <is>
          <t>Cadel (+/-m2)</t>
        </is>
      </c>
      <c r="U29" s="205" t="n"/>
      <c r="V29" s="205" t="n"/>
      <c r="W29" s="202" t="n"/>
      <c r="X29" s="202">
        <f>((D31/1000)*(E31/1000))*G31</f>
        <v/>
      </c>
    </row>
    <row r="30">
      <c r="A30" s="202" t="inlineStr">
        <is>
          <t>COMPARATIVA</t>
        </is>
      </c>
      <c r="B30" s="204" t="n">
        <v>32</v>
      </c>
      <c r="C30" s="202" t="inlineStr">
        <is>
          <t>tablero_aglomerado_aglomerado_1a_standard_16mm</t>
        </is>
      </c>
      <c r="D30" s="202" t="inlineStr">
        <is>
          <t>Tablero</t>
        </is>
      </c>
      <c r="E30" s="202" t="inlineStr">
        <is>
          <t>Aglomerado</t>
        </is>
      </c>
      <c r="F30" s="202" t="inlineStr">
        <is>
          <t>Aglomerado 1a standard 16mm</t>
        </is>
      </c>
      <c r="G30" s="204" t="n">
        <v>3050</v>
      </c>
      <c r="H30" s="204" t="n">
        <v>2070</v>
      </c>
      <c r="I30" s="204" t="n">
        <v>16</v>
      </c>
      <c r="J30" s="205" t="n">
        <v>3.69</v>
      </c>
      <c r="K30" s="205" t="n">
        <v>3.69</v>
      </c>
      <c r="L30" s="202" t="inlineStr">
        <is>
          <t>€/m2</t>
        </is>
      </c>
      <c r="M30" s="202" t="inlineStr">
        <is>
          <t xml:space="preserve">Albaertch </t>
        </is>
      </c>
      <c r="N30" s="202" t="inlineStr">
        <is>
          <t xml:space="preserve">Albaertch </t>
        </is>
      </c>
      <c r="O30" s="205" t="n"/>
      <c r="P30" s="205" t="n"/>
      <c r="Q30" s="202" t="n"/>
      <c r="R30" s="205" t="n"/>
      <c r="S30" s="205" t="n"/>
      <c r="T30" s="202" t="n"/>
      <c r="U30" s="205" t="n">
        <v>3.57</v>
      </c>
      <c r="V30" s="205" t="n">
        <v>3.57</v>
      </c>
      <c r="W30" s="202" t="inlineStr">
        <is>
          <t>Paquete</t>
        </is>
      </c>
      <c r="X30" s="202">
        <f>((D32/1000)*(E32/1000))*G32</f>
        <v/>
      </c>
    </row>
    <row r="31">
      <c r="A31" s="202" t="inlineStr">
        <is>
          <t>COMPARATIVA</t>
        </is>
      </c>
      <c r="B31" s="204" t="n">
        <v>33</v>
      </c>
      <c r="C31" s="202" t="inlineStr">
        <is>
          <t>tablero_aglomerado_aglomerado_1a_standard_16mm</t>
        </is>
      </c>
      <c r="D31" s="202" t="inlineStr">
        <is>
          <t>Tablero</t>
        </is>
      </c>
      <c r="E31" s="202" t="inlineStr">
        <is>
          <t>Aglomerado</t>
        </is>
      </c>
      <c r="F31" s="202" t="inlineStr">
        <is>
          <t>Aglomerado 1a standard 16mm</t>
        </is>
      </c>
      <c r="G31" s="204" t="n">
        <v>4000</v>
      </c>
      <c r="H31" s="204" t="n">
        <v>2070</v>
      </c>
      <c r="I31" s="204" t="n">
        <v>16</v>
      </c>
      <c r="J31" s="205" t="n">
        <v>4.61</v>
      </c>
      <c r="K31" s="205" t="n">
        <v>4.61</v>
      </c>
      <c r="L31" s="202" t="inlineStr">
        <is>
          <t>€/m2</t>
        </is>
      </c>
      <c r="M31" s="202" t="inlineStr">
        <is>
          <t>Gabarro</t>
        </is>
      </c>
      <c r="N31" s="202" t="inlineStr">
        <is>
          <t>Gabarro</t>
        </is>
      </c>
      <c r="O31" s="205" t="n">
        <v>1.81</v>
      </c>
      <c r="P31" s="205">
        <f>425.35/235</f>
        <v/>
      </c>
      <c r="Q31" s="202" t="inlineStr">
        <is>
          <t>Corte (+/-m2)</t>
        </is>
      </c>
      <c r="R31" s="205" t="n">
        <v>1.448006756756757</v>
      </c>
      <c r="S31" s="205">
        <f>428.61/296</f>
        <v/>
      </c>
      <c r="T31" s="202" t="inlineStr">
        <is>
          <t>Cadel (+/-m2)</t>
        </is>
      </c>
      <c r="U31" s="205" t="n"/>
      <c r="V31" s="205" t="n"/>
      <c r="W31" s="202" t="n"/>
      <c r="X31" s="202">
        <f>((D33/1000)*(E33/1000))*G33</f>
        <v/>
      </c>
    </row>
    <row r="32">
      <c r="A32" s="202" t="inlineStr">
        <is>
          <t>COMPARATIVA</t>
        </is>
      </c>
      <c r="B32" s="204" t="n">
        <v>34</v>
      </c>
      <c r="C32" s="202" t="inlineStr">
        <is>
          <t>tablero_aglomerado_aglomerado_1a_standard_16mm</t>
        </is>
      </c>
      <c r="D32" s="202" t="inlineStr">
        <is>
          <t>Tablero</t>
        </is>
      </c>
      <c r="E32" s="202" t="inlineStr">
        <is>
          <t>Aglomerado</t>
        </is>
      </c>
      <c r="F32" s="202" t="inlineStr">
        <is>
          <t>Aglomerado 1a standard 16mm</t>
        </is>
      </c>
      <c r="G32" s="204" t="n">
        <v>4000</v>
      </c>
      <c r="H32" s="204" t="n">
        <v>2070</v>
      </c>
      <c r="I32" s="204" t="n">
        <v>16</v>
      </c>
      <c r="J32" s="205" t="n">
        <v>3.69</v>
      </c>
      <c r="K32" s="205" t="n">
        <v>3.69</v>
      </c>
      <c r="L32" s="202" t="inlineStr">
        <is>
          <t>€/m2</t>
        </is>
      </c>
      <c r="M32" s="202" t="inlineStr">
        <is>
          <t xml:space="preserve">Albaertch </t>
        </is>
      </c>
      <c r="N32" s="202" t="inlineStr">
        <is>
          <t xml:space="preserve">Albaertch </t>
        </is>
      </c>
      <c r="O32" s="205" t="n"/>
      <c r="P32" s="205" t="n"/>
      <c r="Q32" s="202" t="n"/>
      <c r="R32" s="205" t="n"/>
      <c r="S32" s="205" t="n"/>
      <c r="T32" s="202" t="n"/>
      <c r="U32" s="205" t="n">
        <v>3.57</v>
      </c>
      <c r="V32" s="205" t="n">
        <v>3.57</v>
      </c>
      <c r="W32" s="202" t="inlineStr">
        <is>
          <t>Paquete</t>
        </is>
      </c>
      <c r="X32" s="202">
        <f>((D34/1000)*(E34/1000))*G34</f>
        <v/>
      </c>
    </row>
    <row r="33">
      <c r="A33" s="202" t="inlineStr">
        <is>
          <t>COMPARATIVA</t>
        </is>
      </c>
      <c r="B33" s="204" t="n">
        <v>35</v>
      </c>
      <c r="C33" s="202" t="inlineStr">
        <is>
          <t>tablero_aglomerado_aglomerado_1a_standard_19mm</t>
        </is>
      </c>
      <c r="D33" s="202" t="inlineStr">
        <is>
          <t>Tablero</t>
        </is>
      </c>
      <c r="E33" s="202" t="inlineStr">
        <is>
          <t>Aglomerado</t>
        </is>
      </c>
      <c r="F33" s="202" t="inlineStr">
        <is>
          <t>Aglomerado 1a standard 19mm</t>
        </is>
      </c>
      <c r="G33" s="204" t="n">
        <v>2800</v>
      </c>
      <c r="H33" s="204" t="n">
        <v>2070</v>
      </c>
      <c r="I33" s="204" t="n">
        <v>19</v>
      </c>
      <c r="J33" s="205" t="n">
        <v>4.53</v>
      </c>
      <c r="K33" s="205" t="n">
        <v>4.53</v>
      </c>
      <c r="L33" s="202" t="inlineStr">
        <is>
          <t>€/m2</t>
        </is>
      </c>
      <c r="M33" s="202" t="inlineStr">
        <is>
          <t>Closa</t>
        </is>
      </c>
      <c r="N33" s="202" t="inlineStr">
        <is>
          <t>Closa</t>
        </is>
      </c>
      <c r="O33" s="205" t="n">
        <v>0.58</v>
      </c>
      <c r="P33" s="205" t="n">
        <v>0.58</v>
      </c>
      <c r="Q33" s="202" t="inlineStr">
        <is>
          <t xml:space="preserve"> Corte (+/-m2)</t>
        </is>
      </c>
      <c r="R33" s="205" t="n">
        <v>1.35</v>
      </c>
      <c r="S33" s="205" t="n">
        <v>1.35</v>
      </c>
      <c r="T33" s="202" t="inlineStr">
        <is>
          <t>Cadel (+/-m2)</t>
        </is>
      </c>
      <c r="U33" s="205" t="n"/>
      <c r="V33" s="205" t="n"/>
      <c r="W33" s="202" t="n"/>
      <c r="X33" s="202">
        <f>((D35/1000)*(E35/1000))*G35</f>
        <v/>
      </c>
    </row>
    <row r="34">
      <c r="A34" s="202" t="inlineStr">
        <is>
          <t>COMPARATIVA</t>
        </is>
      </c>
      <c r="B34" s="204" t="n">
        <v>37</v>
      </c>
      <c r="C34" s="202" t="inlineStr">
        <is>
          <t>tablero_mdf_blanco_mdf_lacado_blanco_1_cara</t>
        </is>
      </c>
      <c r="D34" s="202" t="inlineStr">
        <is>
          <t>Tablero</t>
        </is>
      </c>
      <c r="E34" s="202" t="inlineStr">
        <is>
          <t>MDF Blanco</t>
        </is>
      </c>
      <c r="F34" s="202" t="inlineStr">
        <is>
          <t>MDF Lacado Blanco 1/Cara</t>
        </is>
      </c>
      <c r="G34" s="204" t="n">
        <v>244</v>
      </c>
      <c r="H34" s="204" t="n">
        <v>122</v>
      </c>
      <c r="I34" s="204" t="n">
        <v>5</v>
      </c>
      <c r="J34" s="205" t="n">
        <v>5.07</v>
      </c>
      <c r="K34" s="205" t="n">
        <v>5.07</v>
      </c>
      <c r="L34" s="202" t="inlineStr">
        <is>
          <t>€/m2</t>
        </is>
      </c>
      <c r="M34" s="202" t="inlineStr">
        <is>
          <t>Closa</t>
        </is>
      </c>
      <c r="N34" s="202" t="inlineStr">
        <is>
          <t>Closa</t>
        </is>
      </c>
      <c r="O34" s="205" t="n">
        <v>0.58</v>
      </c>
      <c r="P34" s="205" t="n">
        <v>0.58</v>
      </c>
      <c r="Q34" s="202" t="inlineStr">
        <is>
          <t>Corte (+/- m2)</t>
        </is>
      </c>
      <c r="R34" s="205" t="n"/>
      <c r="S34" s="205" t="n"/>
      <c r="T34" s="202" t="n"/>
      <c r="U34" s="205" t="n"/>
      <c r="V34" s="205" t="n"/>
      <c r="W34" s="202" t="n"/>
      <c r="X34" s="202">
        <f>((D37/1000)*(E37/1000))*G37</f>
        <v/>
      </c>
    </row>
    <row r="35">
      <c r="A35" s="202" t="inlineStr">
        <is>
          <t>COMPARATIVA</t>
        </is>
      </c>
      <c r="B35" s="204" t="n">
        <v>38</v>
      </c>
      <c r="C35" s="202" t="inlineStr">
        <is>
          <t>tablero_mdf_tablex_blanco_5mm_zocalo</t>
        </is>
      </c>
      <c r="D35" s="202" t="inlineStr">
        <is>
          <t>Tablero</t>
        </is>
      </c>
      <c r="E35" s="202" t="inlineStr">
        <is>
          <t>MDF</t>
        </is>
      </c>
      <c r="F35" s="202" t="inlineStr">
        <is>
          <t>Tablex Blanco 5mm (Zocalo)</t>
        </is>
      </c>
      <c r="G35" s="204" t="n">
        <v>2440</v>
      </c>
      <c r="H35" s="204" t="n">
        <v>1220</v>
      </c>
      <c r="I35" s="204" t="n">
        <v>5</v>
      </c>
      <c r="J35" s="205" t="n"/>
      <c r="K35" s="205" t="n"/>
      <c r="L35" s="202" t="inlineStr">
        <is>
          <t>€/m2</t>
        </is>
      </c>
      <c r="M35" s="202" t="inlineStr">
        <is>
          <t>Mausa</t>
        </is>
      </c>
      <c r="N35" s="202" t="inlineStr">
        <is>
          <t>Mausa</t>
        </is>
      </c>
      <c r="O35" s="205" t="n"/>
      <c r="P35" s="205" t="n"/>
      <c r="Q35" s="202" t="n"/>
      <c r="R35" s="205" t="n"/>
      <c r="S35" s="205" t="n"/>
      <c r="T35" s="202" t="n"/>
      <c r="U35" s="205" t="n"/>
      <c r="V35" s="205" t="n"/>
      <c r="W35" s="202" t="n"/>
      <c r="X35" s="202">
        <f>((D38/1000)*(E38/1000))*G38</f>
        <v/>
      </c>
    </row>
    <row r="36">
      <c r="A36" s="202" t="inlineStr">
        <is>
          <t>COMPARATIVA</t>
        </is>
      </c>
      <c r="B36" s="204" t="n">
        <v>39</v>
      </c>
      <c r="C36" s="202" t="inlineStr">
        <is>
          <t>tablero_mdf_tablex_negro_5mm_zocalo</t>
        </is>
      </c>
      <c r="D36" s="202" t="inlineStr">
        <is>
          <t>Tablero</t>
        </is>
      </c>
      <c r="E36" s="202" t="inlineStr">
        <is>
          <t>MDF</t>
        </is>
      </c>
      <c r="F36" s="202" t="inlineStr">
        <is>
          <t>Tablex Negro  5mm (Zocalo)</t>
        </is>
      </c>
      <c r="G36" s="204" t="n">
        <v>2440</v>
      </c>
      <c r="H36" s="204" t="n">
        <v>1220</v>
      </c>
      <c r="I36" s="204" t="n">
        <v>5</v>
      </c>
      <c r="J36" s="205" t="n">
        <v>7</v>
      </c>
      <c r="K36" s="205" t="n">
        <v>7</v>
      </c>
      <c r="L36" s="202" t="inlineStr">
        <is>
          <t>€/m2</t>
        </is>
      </c>
      <c r="M36" s="202" t="inlineStr">
        <is>
          <t>Closa</t>
        </is>
      </c>
      <c r="N36" s="202" t="inlineStr">
        <is>
          <t>Closa</t>
        </is>
      </c>
      <c r="O36" s="205" t="n">
        <v>0.58</v>
      </c>
      <c r="P36" s="205" t="n">
        <v>0.58</v>
      </c>
      <c r="Q36" s="202" t="inlineStr">
        <is>
          <t>Corte (+/- m2)</t>
        </is>
      </c>
      <c r="R36" s="205" t="n"/>
      <c r="S36" s="205" t="n"/>
      <c r="T36" s="202" t="n"/>
      <c r="U36" s="205" t="n"/>
      <c r="V36" s="205" t="n"/>
      <c r="W36" s="202" t="n"/>
      <c r="X36" s="202">
        <f>((D39/1000)*(E39/1000))*G39</f>
        <v/>
      </c>
    </row>
    <row r="37">
      <c r="A37" s="202" t="inlineStr">
        <is>
          <t>COMPARATIVA</t>
        </is>
      </c>
      <c r="B37" s="204" t="n">
        <v>40</v>
      </c>
      <c r="C37" s="202" t="inlineStr">
        <is>
          <t>tablero_mdf_tablex_negro_5mm_zocalo</t>
        </is>
      </c>
      <c r="D37" s="202" t="inlineStr">
        <is>
          <t>Tablero</t>
        </is>
      </c>
      <c r="E37" s="202" t="inlineStr">
        <is>
          <t>MDF</t>
        </is>
      </c>
      <c r="F37" s="202" t="inlineStr">
        <is>
          <t>Tablex Negro 5mm (Zocalo)</t>
        </is>
      </c>
      <c r="G37" s="204" t="n">
        <v>2440</v>
      </c>
      <c r="H37" s="204" t="n">
        <v>1220</v>
      </c>
      <c r="I37" s="204" t="n">
        <v>5</v>
      </c>
      <c r="J37" s="205" t="n"/>
      <c r="K37" s="205" t="n"/>
      <c r="L37" s="202" t="inlineStr">
        <is>
          <t>€/m2</t>
        </is>
      </c>
      <c r="M37" s="202" t="inlineStr">
        <is>
          <t>Mausa</t>
        </is>
      </c>
      <c r="N37" s="202" t="inlineStr">
        <is>
          <t>Mausa</t>
        </is>
      </c>
      <c r="O37" s="205" t="n"/>
      <c r="P37" s="205" t="n"/>
      <c r="Q37" s="202" t="n"/>
      <c r="R37" s="205" t="n"/>
      <c r="S37" s="205" t="n"/>
      <c r="T37" s="202" t="n"/>
      <c r="U37" s="205" t="n"/>
      <c r="V37" s="205" t="n"/>
      <c r="W37" s="202" t="n"/>
      <c r="X37" s="202">
        <f>((D40/1000)*(E40/1000))*G40</f>
        <v/>
      </c>
    </row>
    <row r="38">
      <c r="A38" s="202" t="inlineStr">
        <is>
          <t>COMPARATIVA</t>
        </is>
      </c>
      <c r="B38" s="204" t="n">
        <v>41</v>
      </c>
      <c r="C38" s="202" t="inlineStr">
        <is>
          <t>tablero_mdf_mdf_standard_3_mm</t>
        </is>
      </c>
      <c r="D38" s="202" t="inlineStr">
        <is>
          <t>Tablero</t>
        </is>
      </c>
      <c r="E38" s="202" t="inlineStr">
        <is>
          <t>MDF</t>
        </is>
      </c>
      <c r="F38" s="202" t="inlineStr">
        <is>
          <t>MDF Standard 3 mm</t>
        </is>
      </c>
      <c r="G38" s="204" t="n">
        <v>2440</v>
      </c>
      <c r="H38" s="204" t="n">
        <v>1220</v>
      </c>
      <c r="I38" s="204" t="n">
        <v>3</v>
      </c>
      <c r="J38" s="205" t="n">
        <v>3</v>
      </c>
      <c r="K38" s="205" t="n">
        <v>3</v>
      </c>
      <c r="L38" s="202" t="inlineStr">
        <is>
          <t>€/m2</t>
        </is>
      </c>
      <c r="M38" s="202" t="inlineStr">
        <is>
          <t>Closa</t>
        </is>
      </c>
      <c r="N38" s="202" t="inlineStr">
        <is>
          <t>Closa</t>
        </is>
      </c>
      <c r="O38" s="205" t="n">
        <v>0.58</v>
      </c>
      <c r="P38" s="205" t="n">
        <v>0.58</v>
      </c>
      <c r="Q38" s="202" t="inlineStr">
        <is>
          <t xml:space="preserve"> Corte (+/-m2)</t>
        </is>
      </c>
      <c r="R38" s="205" t="n"/>
      <c r="S38" s="205" t="n"/>
      <c r="T38" s="202" t="n"/>
      <c r="U38" s="205" t="n"/>
      <c r="V38" s="205" t="n"/>
      <c r="W38" s="202" t="n"/>
      <c r="X38" s="202">
        <f>((D41/1000)*(E41/1000))*G41</f>
        <v/>
      </c>
    </row>
    <row r="39">
      <c r="A39" s="202" t="inlineStr">
        <is>
          <t>COMPARATIVA</t>
        </is>
      </c>
      <c r="B39" s="204" t="n">
        <v>42</v>
      </c>
      <c r="C39" s="202" t="inlineStr">
        <is>
          <t>tablero_mdf_mdf_standard_5_mm</t>
        </is>
      </c>
      <c r="D39" s="202" t="inlineStr">
        <is>
          <t>Tablero</t>
        </is>
      </c>
      <c r="E39" s="202" t="inlineStr">
        <is>
          <t>MDF</t>
        </is>
      </c>
      <c r="F39" s="202" t="inlineStr">
        <is>
          <t>MDF Standard 5 mm</t>
        </is>
      </c>
      <c r="G39" s="204" t="n">
        <v>2440</v>
      </c>
      <c r="H39" s="204" t="n">
        <v>1220</v>
      </c>
      <c r="I39" s="204" t="n">
        <v>5</v>
      </c>
      <c r="J39" s="205" t="n">
        <v>2.4</v>
      </c>
      <c r="K39" s="205" t="n">
        <v>2.4</v>
      </c>
      <c r="L39" s="202" t="inlineStr">
        <is>
          <t>€/m2</t>
        </is>
      </c>
      <c r="M39" s="202" t="inlineStr">
        <is>
          <t>Closa</t>
        </is>
      </c>
      <c r="N39" s="202" t="inlineStr">
        <is>
          <t>Closa</t>
        </is>
      </c>
      <c r="O39" s="205" t="n">
        <v>0.58</v>
      </c>
      <c r="P39" s="205" t="n">
        <v>0.58</v>
      </c>
      <c r="Q39" s="202" t="inlineStr">
        <is>
          <t xml:space="preserve"> Corte (+/-m2)</t>
        </is>
      </c>
      <c r="R39" s="205" t="n"/>
      <c r="S39" s="205" t="n"/>
      <c r="T39" s="202" t="n"/>
      <c r="U39" s="205" t="n"/>
      <c r="V39" s="205" t="n"/>
      <c r="W39" s="202" t="n"/>
      <c r="X39" s="202">
        <f>((D42/1000)*(E42/1000))*G42</f>
        <v/>
      </c>
    </row>
    <row r="40">
      <c r="A40" s="202" t="inlineStr">
        <is>
          <t>COMPARATIVA</t>
        </is>
      </c>
      <c r="B40" s="204" t="n">
        <v>43</v>
      </c>
      <c r="C40" s="202" t="inlineStr">
        <is>
          <t>tablero_mdf_mdf_standard_5_mm</t>
        </is>
      </c>
      <c r="D40" s="202" t="inlineStr">
        <is>
          <t>Tablero</t>
        </is>
      </c>
      <c r="E40" s="202" t="inlineStr">
        <is>
          <t>MDF</t>
        </is>
      </c>
      <c r="F40" s="202" t="inlineStr">
        <is>
          <t>MDF Standard 5 mm</t>
        </is>
      </c>
      <c r="G40" s="204" t="n">
        <v>2440</v>
      </c>
      <c r="H40" s="204" t="n">
        <v>1220</v>
      </c>
      <c r="I40" s="204" t="n">
        <v>5</v>
      </c>
      <c r="J40" s="205" t="n">
        <v>3.05</v>
      </c>
      <c r="K40" s="205" t="n">
        <v>3.05</v>
      </c>
      <c r="L40" s="202" t="inlineStr">
        <is>
          <t>€/m2</t>
        </is>
      </c>
      <c r="M40" s="202" t="inlineStr">
        <is>
          <t>Gabarro</t>
        </is>
      </c>
      <c r="N40" s="202" t="inlineStr">
        <is>
          <t>Gabarro</t>
        </is>
      </c>
      <c r="O40" s="205" t="n">
        <v>1.81</v>
      </c>
      <c r="P40" s="205">
        <f>425.35/235</f>
        <v/>
      </c>
      <c r="Q40" s="202" t="inlineStr">
        <is>
          <t>Corte (+/-m2)</t>
        </is>
      </c>
      <c r="R40" s="205" t="n">
        <v>1.448006756756757</v>
      </c>
      <c r="S40" s="205">
        <f>428.61/296</f>
        <v/>
      </c>
      <c r="T40" s="202" t="inlineStr">
        <is>
          <t>Cadel (+/-m2)</t>
        </is>
      </c>
      <c r="U40" s="205" t="n"/>
      <c r="V40" s="205" t="n"/>
      <c r="W40" s="202" t="n"/>
      <c r="X40" s="202">
        <f>((D43/1000)*(E43/1000))*G43</f>
        <v/>
      </c>
    </row>
    <row r="41">
      <c r="A41" s="202" t="inlineStr">
        <is>
          <t>COMPARATIVA</t>
        </is>
      </c>
      <c r="B41" s="204" t="n">
        <v>44</v>
      </c>
      <c r="C41" s="202" t="inlineStr">
        <is>
          <t>tablero_mdf_mdf_standard_5_mm</t>
        </is>
      </c>
      <c r="D41" s="202" t="inlineStr">
        <is>
          <t>Tablero</t>
        </is>
      </c>
      <c r="E41" s="202" t="inlineStr">
        <is>
          <t>MDF</t>
        </is>
      </c>
      <c r="F41" s="202" t="inlineStr">
        <is>
          <t>MDF Standard 5 mm</t>
        </is>
      </c>
      <c r="G41" s="204" t="n">
        <v>2440</v>
      </c>
      <c r="H41" s="204" t="n">
        <v>1220</v>
      </c>
      <c r="I41" s="204" t="n">
        <v>5</v>
      </c>
      <c r="J41" s="205" t="n">
        <v>3.03</v>
      </c>
      <c r="K41" s="205" t="n">
        <v>3.03</v>
      </c>
      <c r="L41" s="202" t="inlineStr">
        <is>
          <t>€/m2</t>
        </is>
      </c>
      <c r="M41" s="202" t="inlineStr">
        <is>
          <t>Mausa</t>
        </is>
      </c>
      <c r="N41" s="202" t="inlineStr">
        <is>
          <t>Mausa</t>
        </is>
      </c>
      <c r="O41" s="205" t="n"/>
      <c r="P41" s="205" t="n"/>
      <c r="Q41" s="202" t="n"/>
      <c r="R41" s="205" t="n"/>
      <c r="S41" s="205" t="n"/>
      <c r="T41" s="202" t="n"/>
      <c r="U41" s="205" t="n"/>
      <c r="V41" s="205" t="n"/>
      <c r="W41" s="202" t="n"/>
      <c r="X41" s="202">
        <f>((D44/1000)*(E44/1000))*G44</f>
        <v/>
      </c>
    </row>
    <row r="42">
      <c r="A42" s="202" t="inlineStr">
        <is>
          <t>COMPARATIVA</t>
        </is>
      </c>
      <c r="B42" s="204" t="n">
        <v>45</v>
      </c>
      <c r="C42" s="202" t="inlineStr">
        <is>
          <t>tablero_mdf_mdf_standard_5_mm</t>
        </is>
      </c>
      <c r="D42" s="202" t="inlineStr">
        <is>
          <t>Tablero</t>
        </is>
      </c>
      <c r="E42" s="202" t="inlineStr">
        <is>
          <t>MDF</t>
        </is>
      </c>
      <c r="F42" s="202" t="inlineStr">
        <is>
          <t>MDF Standard 5 mm</t>
        </is>
      </c>
      <c r="G42" s="204" t="n">
        <v>2440</v>
      </c>
      <c r="H42" s="204" t="n">
        <v>1220</v>
      </c>
      <c r="I42" s="204" t="n">
        <v>5</v>
      </c>
      <c r="J42" s="205" t="n">
        <v>2.58</v>
      </c>
      <c r="K42" s="205" t="n">
        <v>2.58</v>
      </c>
      <c r="L42" s="202" t="inlineStr">
        <is>
          <t>€/m2</t>
        </is>
      </c>
      <c r="M42" s="202" t="inlineStr">
        <is>
          <t xml:space="preserve">Albaertch </t>
        </is>
      </c>
      <c r="N42" s="202" t="inlineStr">
        <is>
          <t xml:space="preserve">Albaertch </t>
        </is>
      </c>
      <c r="O42" s="205" t="n"/>
      <c r="P42" s="205" t="n"/>
      <c r="Q42" s="202" t="n"/>
      <c r="R42" s="205" t="n"/>
      <c r="S42" s="205" t="n"/>
      <c r="T42" s="202" t="n"/>
      <c r="U42" s="205" t="n">
        <v>2.5</v>
      </c>
      <c r="V42" s="205" t="n">
        <v>2.5</v>
      </c>
      <c r="W42" s="202" t="inlineStr">
        <is>
          <t>Paquete</t>
        </is>
      </c>
      <c r="X42" s="202">
        <f>((D45/1000)*(E45/1000))*G45</f>
        <v/>
      </c>
    </row>
    <row r="43">
      <c r="A43" s="202" t="inlineStr">
        <is>
          <t>COMPARATIVA</t>
        </is>
      </c>
      <c r="B43" s="204" t="n">
        <v>46</v>
      </c>
      <c r="C43" s="202" t="inlineStr">
        <is>
          <t>tablero_mdf_mdf_standard_16_mm</t>
        </is>
      </c>
      <c r="D43" s="202" t="inlineStr">
        <is>
          <t>Tablero</t>
        </is>
      </c>
      <c r="E43" s="202" t="inlineStr">
        <is>
          <t>MDF</t>
        </is>
      </c>
      <c r="F43" s="202" t="inlineStr">
        <is>
          <t>MDF Standard 16 mm</t>
        </is>
      </c>
      <c r="G43" s="204" t="n">
        <v>2800</v>
      </c>
      <c r="H43" s="204" t="n">
        <v>2070</v>
      </c>
      <c r="I43" s="204" t="n">
        <v>16</v>
      </c>
      <c r="J43" s="205" t="n">
        <v>6.36</v>
      </c>
      <c r="K43" s="205" t="n">
        <v>6.36</v>
      </c>
      <c r="L43" s="202" t="inlineStr">
        <is>
          <t>€/m2</t>
        </is>
      </c>
      <c r="M43" s="202" t="inlineStr">
        <is>
          <t>Closa</t>
        </is>
      </c>
      <c r="N43" s="202" t="inlineStr">
        <is>
          <t>Closa</t>
        </is>
      </c>
      <c r="O43" s="205" t="n">
        <v>0.58</v>
      </c>
      <c r="P43" s="205" t="n">
        <v>0.58</v>
      </c>
      <c r="Q43" s="202" t="inlineStr">
        <is>
          <t xml:space="preserve"> Corte (+/-m2)</t>
        </is>
      </c>
      <c r="R43" s="205" t="n">
        <v>1.35</v>
      </c>
      <c r="S43" s="205" t="n">
        <v>1.35</v>
      </c>
      <c r="T43" s="202" t="inlineStr">
        <is>
          <t>Cadel (+/-m2)</t>
        </is>
      </c>
      <c r="U43" s="205" t="n"/>
      <c r="V43" s="205" t="n"/>
      <c r="W43" s="202" t="n"/>
      <c r="X43" s="202">
        <f>((D46/1000)*(E46/1000))*G46</f>
        <v/>
      </c>
    </row>
    <row r="44">
      <c r="A44" s="202" t="inlineStr">
        <is>
          <t>COMPARATIVA</t>
        </is>
      </c>
      <c r="B44" s="204" t="n">
        <v>47</v>
      </c>
      <c r="C44" s="202" t="inlineStr">
        <is>
          <t>tablero_mdf_mdf_standard_16_mm</t>
        </is>
      </c>
      <c r="D44" s="202" t="inlineStr">
        <is>
          <t>Tablero</t>
        </is>
      </c>
      <c r="E44" s="202" t="inlineStr">
        <is>
          <t>MDF</t>
        </is>
      </c>
      <c r="F44" s="202" t="inlineStr">
        <is>
          <t>MDF Standard 16 mm</t>
        </is>
      </c>
      <c r="G44" s="204" t="n">
        <v>2800</v>
      </c>
      <c r="H44" s="204" t="n">
        <v>2070</v>
      </c>
      <c r="I44" s="204" t="n">
        <v>16</v>
      </c>
      <c r="J44" s="205" t="n">
        <v>5.94</v>
      </c>
      <c r="K44" s="205" t="n">
        <v>5.94</v>
      </c>
      <c r="L44" s="202" t="inlineStr">
        <is>
          <t>€/m2</t>
        </is>
      </c>
      <c r="M44" s="202" t="inlineStr">
        <is>
          <t xml:space="preserve">Albaertch </t>
        </is>
      </c>
      <c r="N44" s="202" t="inlineStr">
        <is>
          <t xml:space="preserve">Albaertch </t>
        </is>
      </c>
      <c r="O44" s="205" t="n"/>
      <c r="P44" s="205" t="n"/>
      <c r="Q44" s="202" t="n"/>
      <c r="R44" s="205" t="n"/>
      <c r="S44" s="205" t="n"/>
      <c r="T44" s="202" t="n"/>
      <c r="U44" s="205" t="n">
        <v>5.74</v>
      </c>
      <c r="V44" s="205" t="n">
        <v>5.74</v>
      </c>
      <c r="W44" s="202" t="inlineStr">
        <is>
          <t>Paquete</t>
        </is>
      </c>
      <c r="X44" s="202">
        <f>((D47/1000)*(E47/1000))*G47</f>
        <v/>
      </c>
    </row>
    <row r="45">
      <c r="A45" s="202" t="inlineStr">
        <is>
          <t>COMPARATIVA</t>
        </is>
      </c>
      <c r="B45" s="204" t="n">
        <v>48</v>
      </c>
      <c r="C45" s="202" t="inlineStr">
        <is>
          <t>tablero_mdf_mdf_standard_16_mm</t>
        </is>
      </c>
      <c r="D45" s="202" t="inlineStr">
        <is>
          <t>Tablero</t>
        </is>
      </c>
      <c r="E45" s="202" t="inlineStr">
        <is>
          <t>MDF</t>
        </is>
      </c>
      <c r="F45" s="202" t="inlineStr">
        <is>
          <t>MDF Standard 16 mm</t>
        </is>
      </c>
      <c r="G45" s="204" t="n">
        <v>3660</v>
      </c>
      <c r="H45" s="204" t="n">
        <v>2070</v>
      </c>
      <c r="I45" s="204" t="n">
        <v>16</v>
      </c>
      <c r="J45" s="205" t="n">
        <v>6.5</v>
      </c>
      <c r="K45" s="205" t="n">
        <v>6.5</v>
      </c>
      <c r="L45" s="202" t="inlineStr">
        <is>
          <t>€/m2</t>
        </is>
      </c>
      <c r="M45" s="202" t="inlineStr">
        <is>
          <t>Gabarro</t>
        </is>
      </c>
      <c r="N45" s="202" t="inlineStr">
        <is>
          <t>Gabarro</t>
        </is>
      </c>
      <c r="O45" s="205" t="n">
        <v>1.81</v>
      </c>
      <c r="P45" s="205">
        <f>425.35/235</f>
        <v/>
      </c>
      <c r="Q45" s="202" t="inlineStr">
        <is>
          <t>Corte (+/-m2)</t>
        </is>
      </c>
      <c r="R45" s="205" t="n">
        <v>1.448006756756757</v>
      </c>
      <c r="S45" s="205">
        <f>428.61/296</f>
        <v/>
      </c>
      <c r="T45" s="202" t="inlineStr">
        <is>
          <t>Cadel (+/-m2)</t>
        </is>
      </c>
      <c r="U45" s="205" t="n"/>
      <c r="V45" s="205" t="n"/>
      <c r="W45" s="202" t="n"/>
      <c r="X45" s="202">
        <f>((D48/1000)*(E48/1000))*G48</f>
        <v/>
      </c>
    </row>
    <row r="46">
      <c r="A46" s="202" t="inlineStr">
        <is>
          <t>COMPARATIVA</t>
        </is>
      </c>
      <c r="B46" s="204" t="n">
        <v>49</v>
      </c>
      <c r="C46" s="202" t="inlineStr">
        <is>
          <t>tablero_mdf_mdf_standard_16_mm</t>
        </is>
      </c>
      <c r="D46" s="202" t="inlineStr">
        <is>
          <t>Tablero</t>
        </is>
      </c>
      <c r="E46" s="202" t="inlineStr">
        <is>
          <t>MDF</t>
        </is>
      </c>
      <c r="F46" s="202" t="inlineStr">
        <is>
          <t>MDF Standard 16 mm</t>
        </is>
      </c>
      <c r="G46" s="204" t="n">
        <v>3660</v>
      </c>
      <c r="H46" s="204" t="n">
        <v>2070</v>
      </c>
      <c r="I46" s="204" t="n">
        <v>16</v>
      </c>
      <c r="J46" s="205" t="n">
        <v>5.94</v>
      </c>
      <c r="K46" s="205" t="n">
        <v>5.94</v>
      </c>
      <c r="L46" s="202" t="inlineStr">
        <is>
          <t>€/m2</t>
        </is>
      </c>
      <c r="M46" s="202" t="inlineStr">
        <is>
          <t xml:space="preserve">Albaertch </t>
        </is>
      </c>
      <c r="N46" s="202" t="inlineStr">
        <is>
          <t xml:space="preserve">Albaertch </t>
        </is>
      </c>
      <c r="O46" s="205" t="n"/>
      <c r="P46" s="205" t="n"/>
      <c r="Q46" s="202" t="n"/>
      <c r="R46" s="205" t="n"/>
      <c r="S46" s="205" t="n"/>
      <c r="T46" s="202" t="n"/>
      <c r="U46" s="205" t="n">
        <v>5.74</v>
      </c>
      <c r="V46" s="205" t="n">
        <v>5.74</v>
      </c>
      <c r="W46" s="202" t="inlineStr">
        <is>
          <t>Paquete</t>
        </is>
      </c>
      <c r="X46" s="202">
        <f>((D49/1000)*(E49/1000))*G49</f>
        <v/>
      </c>
    </row>
    <row r="47">
      <c r="A47" s="202" t="inlineStr">
        <is>
          <t>COMPARATIVA</t>
        </is>
      </c>
      <c r="B47" s="204" t="n">
        <v>50</v>
      </c>
      <c r="C47" s="202" t="inlineStr">
        <is>
          <t>tablero_mdf_mdf_standard_16_mm</t>
        </is>
      </c>
      <c r="D47" s="202" t="inlineStr">
        <is>
          <t>Tablero</t>
        </is>
      </c>
      <c r="E47" s="202" t="inlineStr">
        <is>
          <t>MDF</t>
        </is>
      </c>
      <c r="F47" s="202" t="inlineStr">
        <is>
          <t>MDF Standard 16 mm</t>
        </is>
      </c>
      <c r="G47" s="204" t="n">
        <v>3660</v>
      </c>
      <c r="H47" s="204" t="n">
        <v>2070</v>
      </c>
      <c r="I47" s="204" t="n">
        <v>16</v>
      </c>
      <c r="J47" s="205" t="n">
        <v>6.581</v>
      </c>
      <c r="K47" s="205" t="n">
        <v>6.581</v>
      </c>
      <c r="L47" s="202" t="inlineStr">
        <is>
          <t>€/m2</t>
        </is>
      </c>
      <c r="M47" s="202" t="inlineStr">
        <is>
          <t>Mausa</t>
        </is>
      </c>
      <c r="N47" s="202" t="inlineStr">
        <is>
          <t>Mausa</t>
        </is>
      </c>
      <c r="O47" s="205" t="n"/>
      <c r="P47" s="205" t="n"/>
      <c r="Q47" s="202" t="n"/>
      <c r="R47" s="205" t="n"/>
      <c r="S47" s="205" t="n"/>
      <c r="T47" s="202" t="n"/>
      <c r="U47" s="205" t="n"/>
      <c r="V47" s="205" t="n"/>
      <c r="W47" s="202" t="n"/>
      <c r="X47" s="202">
        <f>((D50/1000)*(E50/1000))*G50</f>
        <v/>
      </c>
    </row>
    <row r="48">
      <c r="A48" s="202" t="inlineStr">
        <is>
          <t>COMPARATIVA</t>
        </is>
      </c>
      <c r="B48" s="204" t="n">
        <v>51</v>
      </c>
      <c r="C48" s="202" t="inlineStr">
        <is>
          <t>tablero_mdf_mdf_standard_19_mm</t>
        </is>
      </c>
      <c r="D48" s="202" t="inlineStr">
        <is>
          <t>Tablero</t>
        </is>
      </c>
      <c r="E48" s="202" t="inlineStr">
        <is>
          <t>MDF</t>
        </is>
      </c>
      <c r="F48" s="202" t="inlineStr">
        <is>
          <t>MDF Standard 19 mm</t>
        </is>
      </c>
      <c r="G48" s="204" t="n">
        <v>2800</v>
      </c>
      <c r="H48" s="204" t="n">
        <v>2070</v>
      </c>
      <c r="I48" s="204" t="n">
        <v>19</v>
      </c>
      <c r="J48" s="205" t="n">
        <v>7.58</v>
      </c>
      <c r="K48" s="205" t="n">
        <v>7.58</v>
      </c>
      <c r="L48" s="202" t="inlineStr">
        <is>
          <t>€/m2</t>
        </is>
      </c>
      <c r="M48" s="202" t="inlineStr">
        <is>
          <t>Closa</t>
        </is>
      </c>
      <c r="N48" s="202" t="inlineStr">
        <is>
          <t>Closa</t>
        </is>
      </c>
      <c r="O48" s="205" t="n">
        <v>0.58</v>
      </c>
      <c r="P48" s="205" t="n">
        <v>0.58</v>
      </c>
      <c r="Q48" s="202" t="inlineStr">
        <is>
          <t xml:space="preserve"> Corte (+/-m2)</t>
        </is>
      </c>
      <c r="R48" s="205" t="n">
        <v>1.35</v>
      </c>
      <c r="S48" s="205" t="n">
        <v>1.35</v>
      </c>
      <c r="T48" s="202" t="inlineStr">
        <is>
          <t>Cadel (+/-m2)</t>
        </is>
      </c>
      <c r="U48" s="205" t="n"/>
      <c r="V48" s="205" t="n"/>
      <c r="W48" s="202" t="n"/>
      <c r="X48" s="202">
        <f>((D51/1000)*(E51/1000))*G51</f>
        <v/>
      </c>
    </row>
    <row r="49">
      <c r="A49" s="202" t="inlineStr">
        <is>
          <t>COMPARATIVA</t>
        </is>
      </c>
      <c r="B49" s="204" t="n">
        <v>52</v>
      </c>
      <c r="C49" s="202" t="inlineStr">
        <is>
          <t>tablero_mdf_mdf_standard_19_mm</t>
        </is>
      </c>
      <c r="D49" s="202" t="inlineStr">
        <is>
          <t>Tablero</t>
        </is>
      </c>
      <c r="E49" s="202" t="inlineStr">
        <is>
          <t>MDF</t>
        </is>
      </c>
      <c r="F49" s="202" t="inlineStr">
        <is>
          <t>MDF Standard 19 mm</t>
        </is>
      </c>
      <c r="G49" s="204" t="n">
        <v>2800</v>
      </c>
      <c r="H49" s="204" t="n">
        <v>2070</v>
      </c>
      <c r="I49" s="204" t="n">
        <v>19</v>
      </c>
      <c r="J49" s="205" t="n">
        <v>7.08</v>
      </c>
      <c r="K49" s="205" t="n">
        <v>7.08</v>
      </c>
      <c r="L49" s="202" t="inlineStr">
        <is>
          <t>€/m2</t>
        </is>
      </c>
      <c r="M49" s="202" t="inlineStr">
        <is>
          <t xml:space="preserve">Albaertch </t>
        </is>
      </c>
      <c r="N49" s="202" t="inlineStr">
        <is>
          <t xml:space="preserve">Albaertch </t>
        </is>
      </c>
      <c r="O49" s="205" t="n"/>
      <c r="P49" s="205" t="n"/>
      <c r="Q49" s="202" t="n"/>
      <c r="R49" s="205" t="n"/>
      <c r="S49" s="205" t="n"/>
      <c r="T49" s="202" t="n"/>
      <c r="U49" s="205" t="n">
        <v>6.84</v>
      </c>
      <c r="V49" s="205" t="n">
        <v>6.84</v>
      </c>
      <c r="W49" s="202" t="inlineStr">
        <is>
          <t>Paquete</t>
        </is>
      </c>
      <c r="X49" s="202">
        <f>((D52/1000)*(E52/1000))*G52</f>
        <v/>
      </c>
    </row>
    <row r="50">
      <c r="A50" s="202" t="inlineStr">
        <is>
          <t>COMPARATIVA</t>
        </is>
      </c>
      <c r="B50" s="204" t="n">
        <v>53</v>
      </c>
      <c r="C50" s="202" t="inlineStr">
        <is>
          <t>tablero_mdf_mdf_standard_19_mm</t>
        </is>
      </c>
      <c r="D50" s="202" t="inlineStr">
        <is>
          <t>Tablero</t>
        </is>
      </c>
      <c r="E50" s="202" t="inlineStr">
        <is>
          <t>MDF</t>
        </is>
      </c>
      <c r="F50" s="202" t="inlineStr">
        <is>
          <t>MDF Standard 19 mm</t>
        </is>
      </c>
      <c r="G50" s="204" t="n">
        <v>3660</v>
      </c>
      <c r="H50" s="204" t="n">
        <v>2070</v>
      </c>
      <c r="I50" s="204" t="n">
        <v>19</v>
      </c>
      <c r="J50" s="205" t="n">
        <v>7.81</v>
      </c>
      <c r="K50" s="205" t="n">
        <v>7.81</v>
      </c>
      <c r="L50" s="202" t="inlineStr">
        <is>
          <t>€/m2</t>
        </is>
      </c>
      <c r="M50" s="202" t="inlineStr">
        <is>
          <t>Gabarro</t>
        </is>
      </c>
      <c r="N50" s="202" t="inlineStr">
        <is>
          <t>Gabarro</t>
        </is>
      </c>
      <c r="O50" s="205" t="n">
        <v>1.81</v>
      </c>
      <c r="P50" s="205">
        <f>425.35/235</f>
        <v/>
      </c>
      <c r="Q50" s="202" t="inlineStr">
        <is>
          <t>Corte (+/-m2)</t>
        </is>
      </c>
      <c r="R50" s="205" t="n">
        <v>1.448006756756757</v>
      </c>
      <c r="S50" s="205">
        <f>428.61/296</f>
        <v/>
      </c>
      <c r="T50" s="202" t="inlineStr">
        <is>
          <t>Cadel (+/-m2)</t>
        </is>
      </c>
      <c r="U50" s="205" t="n"/>
      <c r="V50" s="205" t="n"/>
      <c r="W50" s="202" t="n"/>
      <c r="X50" s="202">
        <f>((D53/1000)*(E53/1000))*G53</f>
        <v/>
      </c>
    </row>
    <row r="51">
      <c r="A51" s="202" t="inlineStr">
        <is>
          <t>COMPARATIVA</t>
        </is>
      </c>
      <c r="B51" s="204" t="n">
        <v>54</v>
      </c>
      <c r="C51" s="202" t="inlineStr">
        <is>
          <t>tablero_mdf_mdf_standard_19_mm</t>
        </is>
      </c>
      <c r="D51" s="202" t="inlineStr">
        <is>
          <t>Tablero</t>
        </is>
      </c>
      <c r="E51" s="202" t="inlineStr">
        <is>
          <t>MDF</t>
        </is>
      </c>
      <c r="F51" s="202" t="inlineStr">
        <is>
          <t>MDF Standard 19 mm</t>
        </is>
      </c>
      <c r="G51" s="204" t="n">
        <v>3660</v>
      </c>
      <c r="H51" s="204" t="n">
        <v>2070</v>
      </c>
      <c r="I51" s="204" t="n">
        <v>19</v>
      </c>
      <c r="J51" s="205" t="n">
        <v>8.359999999999999</v>
      </c>
      <c r="K51" s="205" t="n">
        <v>8.359999999999999</v>
      </c>
      <c r="L51" s="202" t="inlineStr">
        <is>
          <t>€/m2</t>
        </is>
      </c>
      <c r="M51" s="202" t="inlineStr">
        <is>
          <t>Mausa</t>
        </is>
      </c>
      <c r="N51" s="202" t="inlineStr">
        <is>
          <t>Mausa</t>
        </is>
      </c>
      <c r="O51" s="205" t="n"/>
      <c r="P51" s="205" t="n"/>
      <c r="Q51" s="202" t="n"/>
      <c r="R51" s="205" t="n"/>
      <c r="S51" s="205" t="n"/>
      <c r="T51" s="202" t="n"/>
      <c r="U51" s="205" t="n"/>
      <c r="V51" s="205" t="n"/>
      <c r="W51" s="202" t="n"/>
      <c r="X51" s="202">
        <f>((D54/1000)*(E54/1000))*G54</f>
        <v/>
      </c>
    </row>
    <row r="52">
      <c r="A52" s="202" t="inlineStr">
        <is>
          <t>COMPARATIVA</t>
        </is>
      </c>
      <c r="B52" s="204" t="n">
        <v>55</v>
      </c>
      <c r="C52" s="202" t="inlineStr">
        <is>
          <t>tablero_mdf_mdf_standard_19_mm</t>
        </is>
      </c>
      <c r="D52" s="202" t="inlineStr">
        <is>
          <t>Tablero</t>
        </is>
      </c>
      <c r="E52" s="202" t="inlineStr">
        <is>
          <t>MDF</t>
        </is>
      </c>
      <c r="F52" s="202" t="inlineStr">
        <is>
          <t>MDF Standard 19 mm</t>
        </is>
      </c>
      <c r="G52" s="204" t="n">
        <v>3660</v>
      </c>
      <c r="H52" s="204" t="n">
        <v>2070</v>
      </c>
      <c r="I52" s="204" t="n">
        <v>19</v>
      </c>
      <c r="J52" s="205" t="n">
        <v>7.08</v>
      </c>
      <c r="K52" s="205" t="n">
        <v>7.08</v>
      </c>
      <c r="L52" s="202" t="inlineStr">
        <is>
          <t>€/m2</t>
        </is>
      </c>
      <c r="M52" s="202" t="inlineStr">
        <is>
          <t xml:space="preserve">Albaertch </t>
        </is>
      </c>
      <c r="N52" s="202" t="inlineStr">
        <is>
          <t xml:space="preserve">Albaertch </t>
        </is>
      </c>
      <c r="O52" s="205" t="n"/>
      <c r="P52" s="205" t="n"/>
      <c r="Q52" s="202" t="n"/>
      <c r="R52" s="205" t="n"/>
      <c r="S52" s="205" t="n"/>
      <c r="T52" s="202" t="n"/>
      <c r="U52" s="205" t="n">
        <v>6.84</v>
      </c>
      <c r="V52" s="205" t="n">
        <v>6.84</v>
      </c>
      <c r="W52" s="202" t="inlineStr">
        <is>
          <t>Paquete</t>
        </is>
      </c>
      <c r="X52" s="202">
        <f>((D55/1000)*(E55/1000))*G55</f>
        <v/>
      </c>
    </row>
    <row r="53">
      <c r="A53" s="202" t="inlineStr">
        <is>
          <t>COMPARATIVA</t>
        </is>
      </c>
      <c r="B53" s="204" t="n">
        <v>57</v>
      </c>
      <c r="C53" s="202" t="inlineStr">
        <is>
          <t>tablero_chopo_bb_bb</t>
        </is>
      </c>
      <c r="D53" s="202" t="inlineStr">
        <is>
          <t>Tablero</t>
        </is>
      </c>
      <c r="E53" s="202" t="inlineStr">
        <is>
          <t>Chopo</t>
        </is>
      </c>
      <c r="F53" s="202" t="inlineStr">
        <is>
          <t>BB/BB</t>
        </is>
      </c>
      <c r="G53" s="204" t="n">
        <v>2440</v>
      </c>
      <c r="H53" s="204" t="n">
        <v>1220</v>
      </c>
      <c r="I53" s="204" t="n">
        <v>5</v>
      </c>
      <c r="J53" s="205" t="n">
        <v>5.77</v>
      </c>
      <c r="K53" s="205" t="n">
        <v>5.77</v>
      </c>
      <c r="L53" s="202" t="inlineStr">
        <is>
          <t>€/m2</t>
        </is>
      </c>
      <c r="M53" s="202" t="inlineStr">
        <is>
          <t>Closa</t>
        </is>
      </c>
      <c r="N53" s="202" t="inlineStr">
        <is>
          <t>Closa</t>
        </is>
      </c>
      <c r="O53" s="205" t="n">
        <v>0.58</v>
      </c>
      <c r="P53" s="205" t="n">
        <v>0.58</v>
      </c>
      <c r="Q53" s="202" t="inlineStr">
        <is>
          <t xml:space="preserve"> Corte (+/-m2)</t>
        </is>
      </c>
      <c r="R53" s="205" t="n"/>
      <c r="S53" s="205" t="n"/>
      <c r="T53" s="202" t="n"/>
      <c r="U53" s="205" t="n"/>
      <c r="V53" s="205" t="n"/>
      <c r="W53" s="202" t="n"/>
      <c r="X53" s="202">
        <f>((D57/1000)*(E57/1000))*G57</f>
        <v/>
      </c>
    </row>
    <row r="54">
      <c r="A54" s="202" t="inlineStr">
        <is>
          <t>COMPARATIVA</t>
        </is>
      </c>
      <c r="B54" s="204" t="n">
        <v>58</v>
      </c>
      <c r="C54" s="202" t="inlineStr">
        <is>
          <t>tablero_chopo_bb_bb</t>
        </is>
      </c>
      <c r="D54" s="202" t="inlineStr">
        <is>
          <t>Tablero</t>
        </is>
      </c>
      <c r="E54" s="202" t="inlineStr">
        <is>
          <t>Chopo</t>
        </is>
      </c>
      <c r="F54" s="202" t="inlineStr">
        <is>
          <t>BB/BB</t>
        </is>
      </c>
      <c r="G54" s="204" t="n">
        <v>2500</v>
      </c>
      <c r="H54" s="204" t="n">
        <v>1220</v>
      </c>
      <c r="I54" s="204" t="n">
        <v>4</v>
      </c>
      <c r="J54" s="205" t="n">
        <v>5.97</v>
      </c>
      <c r="K54" s="205" t="n">
        <v>5.97</v>
      </c>
      <c r="L54" s="202" t="inlineStr">
        <is>
          <t>€/m2</t>
        </is>
      </c>
      <c r="M54" s="202" t="inlineStr">
        <is>
          <t>Gabarro</t>
        </is>
      </c>
      <c r="N54" s="202" t="inlineStr">
        <is>
          <t>Gabarro</t>
        </is>
      </c>
      <c r="O54" s="205" t="n">
        <v>1.81</v>
      </c>
      <c r="P54" s="205">
        <f>425.35/235</f>
        <v/>
      </c>
      <c r="Q54" s="202" t="inlineStr">
        <is>
          <t>Corte (+/-m2)</t>
        </is>
      </c>
      <c r="R54" s="205" t="n">
        <v>1.448006756756757</v>
      </c>
      <c r="S54" s="205">
        <f>428.61/296</f>
        <v/>
      </c>
      <c r="T54" s="202" t="inlineStr">
        <is>
          <t>Cadel (+/-m2)</t>
        </is>
      </c>
      <c r="U54" s="205" t="n"/>
      <c r="V54" s="205" t="n"/>
      <c r="W54" s="202" t="n"/>
      <c r="X54" s="202">
        <f>((D58/1000)*(E58/1000))*G58</f>
        <v/>
      </c>
    </row>
    <row r="55">
      <c r="A55" s="202" t="inlineStr">
        <is>
          <t>COMPARATIVA</t>
        </is>
      </c>
      <c r="B55" s="204" t="n">
        <v>59</v>
      </c>
      <c r="C55" s="202" t="inlineStr">
        <is>
          <t>tablero_chopo_bb_bb</t>
        </is>
      </c>
      <c r="D55" s="202" t="inlineStr">
        <is>
          <t>Tablero</t>
        </is>
      </c>
      <c r="E55" s="202" t="inlineStr">
        <is>
          <t>Chopo</t>
        </is>
      </c>
      <c r="F55" s="202" t="inlineStr">
        <is>
          <t>BB/BB</t>
        </is>
      </c>
      <c r="G55" s="204" t="n">
        <v>2500</v>
      </c>
      <c r="H55" s="204" t="n">
        <v>1220</v>
      </c>
      <c r="I55" s="204" t="n">
        <v>4</v>
      </c>
      <c r="J55" s="205" t="n">
        <v>5.4</v>
      </c>
      <c r="K55" s="205" t="n">
        <v>5.4</v>
      </c>
      <c r="L55" s="202" t="inlineStr">
        <is>
          <t>€/m2</t>
        </is>
      </c>
      <c r="M55" s="202" t="inlineStr">
        <is>
          <t xml:space="preserve">Albaertch </t>
        </is>
      </c>
      <c r="N55" s="202" t="inlineStr">
        <is>
          <t xml:space="preserve">Albaertch </t>
        </is>
      </c>
      <c r="O55" s="205" t="n"/>
      <c r="P55" s="205" t="n"/>
      <c r="Q55" s="202" t="n"/>
      <c r="R55" s="205" t="n"/>
      <c r="S55" s="205" t="n"/>
      <c r="T55" s="202" t="n"/>
      <c r="U55" s="205" t="n">
        <v>5.22</v>
      </c>
      <c r="V55" s="205" t="n">
        <v>5.22</v>
      </c>
      <c r="W55" s="202" t="inlineStr">
        <is>
          <t>Paquete</t>
        </is>
      </c>
      <c r="X55" s="202">
        <f>((D59/1000)*(E59/1000))*G59</f>
        <v/>
      </c>
    </row>
    <row r="56">
      <c r="A56" s="202" t="inlineStr">
        <is>
          <t>COMPARATIVA</t>
        </is>
      </c>
      <c r="B56" s="204" t="n">
        <v>60</v>
      </c>
      <c r="C56" s="202" t="inlineStr">
        <is>
          <t>tablero_chopo_bb_bb</t>
        </is>
      </c>
      <c r="D56" s="202" t="inlineStr">
        <is>
          <t>Tablero</t>
        </is>
      </c>
      <c r="E56" s="202" t="inlineStr">
        <is>
          <t>Chopo</t>
        </is>
      </c>
      <c r="F56" s="202" t="inlineStr">
        <is>
          <t>BB/BB</t>
        </is>
      </c>
      <c r="G56" s="204" t="n">
        <v>2500</v>
      </c>
      <c r="H56" s="204" t="n">
        <v>1220</v>
      </c>
      <c r="I56" s="204" t="n">
        <v>5</v>
      </c>
      <c r="J56" s="205" t="n">
        <v>7.64</v>
      </c>
      <c r="K56" s="205" t="n">
        <v>7.64</v>
      </c>
      <c r="L56" s="202" t="inlineStr">
        <is>
          <t>€/m2</t>
        </is>
      </c>
      <c r="M56" s="202" t="inlineStr">
        <is>
          <t>Mausa</t>
        </is>
      </c>
      <c r="N56" s="202" t="inlineStr">
        <is>
          <t>Mausa</t>
        </is>
      </c>
      <c r="O56" s="205" t="n"/>
      <c r="P56" s="205" t="n"/>
      <c r="Q56" s="202" t="n"/>
      <c r="R56" s="205" t="n"/>
      <c r="S56" s="205" t="n"/>
      <c r="T56" s="202" t="n"/>
      <c r="U56" s="205" t="n"/>
      <c r="V56" s="205" t="n"/>
      <c r="W56" s="202" t="n"/>
      <c r="X56" s="202">
        <f>((D60/1000)*(E60/1000))*G60</f>
        <v/>
      </c>
    </row>
    <row r="57">
      <c r="A57" s="202" t="inlineStr">
        <is>
          <t>COMPARATIVA</t>
        </is>
      </c>
      <c r="B57" s="204" t="n">
        <v>61</v>
      </c>
      <c r="C57" s="202" t="inlineStr">
        <is>
          <t>tablero_chopo_bb_bb</t>
        </is>
      </c>
      <c r="D57" s="202" t="inlineStr">
        <is>
          <t>Tablero</t>
        </is>
      </c>
      <c r="E57" s="202" t="inlineStr">
        <is>
          <t>Chopo</t>
        </is>
      </c>
      <c r="F57" s="202" t="inlineStr">
        <is>
          <t>BB/BB</t>
        </is>
      </c>
      <c r="G57" s="204" t="n">
        <v>2500</v>
      </c>
      <c r="H57" s="204" t="n">
        <v>1220</v>
      </c>
      <c r="I57" s="204" t="n">
        <v>5</v>
      </c>
      <c r="J57" s="205" t="n">
        <v>6.18</v>
      </c>
      <c r="K57" s="205" t="n">
        <v>6.18</v>
      </c>
      <c r="L57" s="202" t="inlineStr">
        <is>
          <t>€/m2</t>
        </is>
      </c>
      <c r="M57" s="202" t="inlineStr">
        <is>
          <t xml:space="preserve">Albaertch </t>
        </is>
      </c>
      <c r="N57" s="202" t="inlineStr">
        <is>
          <t xml:space="preserve">Albaertch </t>
        </is>
      </c>
      <c r="O57" s="205" t="n"/>
      <c r="P57" s="205" t="n"/>
      <c r="Q57" s="202" t="n"/>
      <c r="R57" s="205" t="n"/>
      <c r="S57" s="205" t="n"/>
      <c r="T57" s="202" t="n"/>
      <c r="U57" s="205" t="n">
        <v>5.98</v>
      </c>
      <c r="V57" s="205" t="n">
        <v>5.98</v>
      </c>
      <c r="W57" s="202" t="inlineStr">
        <is>
          <t>Paquete</t>
        </is>
      </c>
      <c r="X57" s="202">
        <f>((D61/1000)*(E61/1000))*G61</f>
        <v/>
      </c>
    </row>
    <row r="58">
      <c r="A58" s="202" t="inlineStr">
        <is>
          <t>COMPARATIVA</t>
        </is>
      </c>
      <c r="B58" s="204" t="n">
        <v>62</v>
      </c>
      <c r="C58" s="202" t="inlineStr">
        <is>
          <t>tablero_chopo_felx_tablero_fromager_flexible_5_mm_mostrador</t>
        </is>
      </c>
      <c r="D58" s="202" t="inlineStr">
        <is>
          <t>Tablero</t>
        </is>
      </c>
      <c r="E58" s="202" t="inlineStr">
        <is>
          <t>Chopo Felx.</t>
        </is>
      </c>
      <c r="F58" s="202" t="inlineStr">
        <is>
          <t>Tablero Fromager flexible 5 mm  (mostrador)</t>
        </is>
      </c>
      <c r="G58" s="204" t="n">
        <v>1220</v>
      </c>
      <c r="H58" s="204" t="n">
        <v>2500</v>
      </c>
      <c r="I58" s="204" t="n">
        <v>5</v>
      </c>
      <c r="J58" s="205" t="n">
        <v>8.18</v>
      </c>
      <c r="K58" s="205" t="n">
        <v>8.18</v>
      </c>
      <c r="L58" s="202" t="inlineStr">
        <is>
          <t>€/m2</t>
        </is>
      </c>
      <c r="M58" s="202" t="inlineStr">
        <is>
          <t>Closa</t>
        </is>
      </c>
      <c r="N58" s="202" t="inlineStr">
        <is>
          <t>Closa</t>
        </is>
      </c>
      <c r="O58" s="205" t="n"/>
      <c r="P58" s="205" t="n"/>
      <c r="Q58" s="202" t="n"/>
      <c r="R58" s="205" t="n"/>
      <c r="S58" s="205" t="n"/>
      <c r="T58" s="202" t="n"/>
      <c r="U58" s="205" t="n"/>
      <c r="V58" s="205" t="n"/>
      <c r="W58" s="202" t="n"/>
      <c r="X58" s="202">
        <f>((D62/1000)*(E62/1000))*G62</f>
        <v/>
      </c>
    </row>
    <row r="59">
      <c r="A59" s="202" t="inlineStr">
        <is>
          <t>COMPARATIVA</t>
        </is>
      </c>
      <c r="B59" s="204" t="n">
        <v>63</v>
      </c>
      <c r="C59" s="202" t="inlineStr">
        <is>
          <t>tablero_chopo_felx_tablero_fromager_flexible_5_mm_mostrador</t>
        </is>
      </c>
      <c r="D59" s="202" t="inlineStr">
        <is>
          <t>Tablero</t>
        </is>
      </c>
      <c r="E59" s="202" t="inlineStr">
        <is>
          <t>Chopo Felx.</t>
        </is>
      </c>
      <c r="F59" s="202" t="inlineStr">
        <is>
          <t>Tablero Fromager flexible 5 mm  (mostrador)</t>
        </is>
      </c>
      <c r="G59" s="204" t="n">
        <v>1220</v>
      </c>
      <c r="H59" s="204" t="n">
        <v>2500</v>
      </c>
      <c r="I59" s="204" t="n">
        <v>5</v>
      </c>
      <c r="J59" s="205" t="n"/>
      <c r="K59" s="205" t="n"/>
      <c r="L59" s="202" t="inlineStr">
        <is>
          <t>€/m2</t>
        </is>
      </c>
      <c r="M59" s="202" t="inlineStr">
        <is>
          <t>Gabarro</t>
        </is>
      </c>
      <c r="N59" s="202" t="inlineStr">
        <is>
          <t>Gabarro</t>
        </is>
      </c>
      <c r="O59" s="205" t="n"/>
      <c r="P59" s="205" t="n"/>
      <c r="Q59" s="202" t="n"/>
      <c r="R59" s="205" t="n"/>
      <c r="S59" s="205" t="n"/>
      <c r="T59" s="202" t="n"/>
      <c r="U59" s="205" t="n"/>
      <c r="V59" s="205" t="n"/>
      <c r="W59" s="202" t="n"/>
      <c r="X59" s="202">
        <f>((D63/1000)*(E63/1000))*G63</f>
        <v/>
      </c>
    </row>
    <row r="60">
      <c r="A60" s="202" t="inlineStr">
        <is>
          <t>COMPARATIVA</t>
        </is>
      </c>
      <c r="B60" s="204" t="n">
        <v>64</v>
      </c>
      <c r="C60" s="202" t="inlineStr">
        <is>
          <t>tablero_chopo_felx_tablero_fromager_flexible_5_mm_mostrador</t>
        </is>
      </c>
      <c r="D60" s="202" t="inlineStr">
        <is>
          <t>Tablero</t>
        </is>
      </c>
      <c r="E60" s="202" t="inlineStr">
        <is>
          <t>Chopo Felx.</t>
        </is>
      </c>
      <c r="F60" s="202" t="inlineStr">
        <is>
          <t>Tablero Fromager flexible 5 mm  (mostrador)</t>
        </is>
      </c>
      <c r="G60" s="204" t="n">
        <v>1220</v>
      </c>
      <c r="H60" s="204" t="n">
        <v>2500</v>
      </c>
      <c r="I60" s="204" t="n">
        <v>5</v>
      </c>
      <c r="J60" s="205" t="n">
        <v>9.6</v>
      </c>
      <c r="K60" s="205" t="n">
        <v>9.6</v>
      </c>
      <c r="L60" s="202" t="inlineStr">
        <is>
          <t>€/m2</t>
        </is>
      </c>
      <c r="M60" s="202" t="inlineStr">
        <is>
          <t xml:space="preserve">Albaertch </t>
        </is>
      </c>
      <c r="N60" s="202" t="inlineStr">
        <is>
          <t xml:space="preserve">Albaertch </t>
        </is>
      </c>
      <c r="O60" s="205" t="n"/>
      <c r="P60" s="205" t="n"/>
      <c r="Q60" s="202" t="n"/>
      <c r="R60" s="205" t="n"/>
      <c r="S60" s="205" t="n"/>
      <c r="T60" s="202" t="n"/>
      <c r="U60" s="205" t="n">
        <v>9.6</v>
      </c>
      <c r="V60" s="205" t="n">
        <v>9.6</v>
      </c>
      <c r="W60" s="202" t="inlineStr">
        <is>
          <t>Paquete</t>
        </is>
      </c>
      <c r="X60" s="202">
        <f>((D64/1000)*(E64/1000))*G64</f>
        <v/>
      </c>
    </row>
    <row r="61">
      <c r="A61" s="202" t="inlineStr">
        <is>
          <t>COMPARATIVA</t>
        </is>
      </c>
      <c r="B61" s="204" t="n">
        <v>65</v>
      </c>
      <c r="C61" s="202" t="inlineStr">
        <is>
          <t>tablero_chopo_felx_tablero_fromager_flexible_5_mm_mostrador</t>
        </is>
      </c>
      <c r="D61" s="202" t="inlineStr">
        <is>
          <t>Tablero</t>
        </is>
      </c>
      <c r="E61" s="202" t="inlineStr">
        <is>
          <t>Chopo Felx.</t>
        </is>
      </c>
      <c r="F61" s="202" t="inlineStr">
        <is>
          <t>Tablero Fromager flexible 5 mm  (mostrador)</t>
        </is>
      </c>
      <c r="G61" s="204" t="n">
        <v>1220</v>
      </c>
      <c r="H61" s="204" t="n">
        <v>2500</v>
      </c>
      <c r="I61" s="204" t="n">
        <v>5</v>
      </c>
      <c r="J61" s="205" t="n"/>
      <c r="K61" s="205" t="n"/>
      <c r="L61" s="202" t="inlineStr">
        <is>
          <t>€/m2</t>
        </is>
      </c>
      <c r="M61" s="202" t="inlineStr">
        <is>
          <t>Mausa</t>
        </is>
      </c>
      <c r="N61" s="202" t="inlineStr">
        <is>
          <t>Mausa</t>
        </is>
      </c>
      <c r="O61" s="205" t="n"/>
      <c r="P61" s="205" t="n"/>
      <c r="Q61" s="202" t="n"/>
      <c r="R61" s="205" t="n"/>
      <c r="S61" s="205" t="n"/>
      <c r="T61" s="202" t="n"/>
      <c r="U61" s="205" t="n"/>
      <c r="V61" s="205" t="n"/>
      <c r="W61" s="202" t="n"/>
      <c r="X61" s="202" t="n"/>
    </row>
    <row r="62">
      <c r="A62" s="202" t="inlineStr">
        <is>
          <t>COMPARATIVA</t>
        </is>
      </c>
      <c r="B62" s="204" t="n">
        <v>66</v>
      </c>
      <c r="C62" s="202" t="inlineStr">
        <is>
          <t>tablero_chopo_felx_tablero_fromager_flexible_5_mm_columna</t>
        </is>
      </c>
      <c r="D62" s="202" t="inlineStr">
        <is>
          <t>Tablero</t>
        </is>
      </c>
      <c r="E62" s="202" t="inlineStr">
        <is>
          <t>Chopo Felx.</t>
        </is>
      </c>
      <c r="F62" s="202" t="inlineStr">
        <is>
          <t>Tablero Fromager flexible 5 mm  (Columna)</t>
        </is>
      </c>
      <c r="G62" s="204" t="n">
        <v>1220</v>
      </c>
      <c r="H62" s="204" t="n">
        <v>2500</v>
      </c>
      <c r="I62" s="204" t="n">
        <v>5</v>
      </c>
      <c r="J62" s="205" t="n">
        <v>8.18</v>
      </c>
      <c r="K62" s="205" t="n">
        <v>8.18</v>
      </c>
      <c r="L62" s="202" t="inlineStr">
        <is>
          <t>€/m2</t>
        </is>
      </c>
      <c r="M62" s="202" t="inlineStr">
        <is>
          <t>Closa</t>
        </is>
      </c>
      <c r="N62" s="202" t="inlineStr">
        <is>
          <t>Closa</t>
        </is>
      </c>
      <c r="O62" s="205" t="n"/>
      <c r="P62" s="205" t="n"/>
      <c r="Q62" s="202" t="n"/>
      <c r="R62" s="205" t="n"/>
      <c r="S62" s="205" t="n"/>
      <c r="T62" s="202" t="n"/>
      <c r="U62" s="205" t="n"/>
      <c r="V62" s="205" t="n"/>
      <c r="W62" s="202" t="n"/>
      <c r="X62" s="202">
        <f>((D66/1000)*(E66/1000))*G66</f>
        <v/>
      </c>
    </row>
    <row r="63">
      <c r="A63" s="202" t="inlineStr">
        <is>
          <t>COMPARATIVA</t>
        </is>
      </c>
      <c r="B63" s="204" t="n">
        <v>67</v>
      </c>
      <c r="C63" s="202" t="inlineStr">
        <is>
          <t>tablero_chopo_felx_tablero_fromager_flexible_5_mm_columna</t>
        </is>
      </c>
      <c r="D63" s="202" t="inlineStr">
        <is>
          <t>Tablero</t>
        </is>
      </c>
      <c r="E63" s="202" t="inlineStr">
        <is>
          <t>Chopo Felx.</t>
        </is>
      </c>
      <c r="F63" s="202" t="inlineStr">
        <is>
          <t>Tablero Fromager flexible 5 mm  (Columna)</t>
        </is>
      </c>
      <c r="G63" s="204" t="n">
        <v>1220</v>
      </c>
      <c r="H63" s="204" t="n">
        <v>2500</v>
      </c>
      <c r="I63" s="204" t="n">
        <v>5</v>
      </c>
      <c r="J63" s="205" t="n"/>
      <c r="K63" s="205" t="n"/>
      <c r="L63" s="202" t="inlineStr">
        <is>
          <t>€/m2</t>
        </is>
      </c>
      <c r="M63" s="202" t="inlineStr">
        <is>
          <t>Gabarro</t>
        </is>
      </c>
      <c r="N63" s="202" t="inlineStr">
        <is>
          <t>Gabarro</t>
        </is>
      </c>
      <c r="O63" s="205" t="n"/>
      <c r="P63" s="205" t="n"/>
      <c r="Q63" s="202" t="n"/>
      <c r="R63" s="205" t="n"/>
      <c r="S63" s="205" t="n"/>
      <c r="T63" s="202" t="n"/>
      <c r="U63" s="205" t="n"/>
      <c r="V63" s="205" t="n"/>
      <c r="W63" s="202" t="n"/>
      <c r="X63" s="202">
        <f>((D67/1000)*(E67/1000))*G67</f>
        <v/>
      </c>
    </row>
    <row r="64">
      <c r="A64" s="202" t="inlineStr">
        <is>
          <t>COMPARATIVA</t>
        </is>
      </c>
      <c r="B64" s="204" t="n">
        <v>68</v>
      </c>
      <c r="C64" s="202" t="inlineStr">
        <is>
          <t>tablero_chopo_felx_tablero_fromager_flexible_5_mm_columna</t>
        </is>
      </c>
      <c r="D64" s="202" t="inlineStr">
        <is>
          <t>Tablero</t>
        </is>
      </c>
      <c r="E64" s="202" t="inlineStr">
        <is>
          <t>Chopo Felx.</t>
        </is>
      </c>
      <c r="F64" s="202" t="inlineStr">
        <is>
          <t>Tablero Fromager flexible 5 mm  (Columna)</t>
        </is>
      </c>
      <c r="G64" s="204" t="n">
        <v>1220</v>
      </c>
      <c r="H64" s="204" t="n">
        <v>2500</v>
      </c>
      <c r="I64" s="204" t="n">
        <v>5</v>
      </c>
      <c r="J64" s="205" t="n"/>
      <c r="K64" s="205" t="n"/>
      <c r="L64" s="202" t="inlineStr">
        <is>
          <t>€/m2</t>
        </is>
      </c>
      <c r="M64" s="202" t="inlineStr">
        <is>
          <t>Mausa</t>
        </is>
      </c>
      <c r="N64" s="202" t="inlineStr">
        <is>
          <t>Mausa</t>
        </is>
      </c>
      <c r="O64" s="205" t="n"/>
      <c r="P64" s="205" t="n"/>
      <c r="Q64" s="202" t="n"/>
      <c r="R64" s="205" t="n"/>
      <c r="S64" s="205" t="n"/>
      <c r="T64" s="202" t="n"/>
      <c r="U64" s="205" t="n"/>
      <c r="V64" s="205" t="n"/>
      <c r="W64" s="202" t="n"/>
      <c r="X64" s="202" t="n"/>
    </row>
    <row r="65">
      <c r="A65" s="202" t="inlineStr">
        <is>
          <t>COMPARATIVA</t>
        </is>
      </c>
      <c r="B65" s="204" t="n">
        <v>69</v>
      </c>
      <c r="C65" s="202" t="inlineStr">
        <is>
          <t>tablero_chopo_bb_bb</t>
        </is>
      </c>
      <c r="D65" s="202" t="inlineStr">
        <is>
          <t>Tablero</t>
        </is>
      </c>
      <c r="E65" s="202" t="inlineStr">
        <is>
          <t>Chopo</t>
        </is>
      </c>
      <c r="F65" s="202" t="inlineStr">
        <is>
          <t>BB/BB</t>
        </is>
      </c>
      <c r="G65" s="204" t="n">
        <v>2440</v>
      </c>
      <c r="H65" s="204" t="n">
        <v>1220</v>
      </c>
      <c r="I65" s="204" t="n">
        <v>10</v>
      </c>
      <c r="J65" s="205" t="n">
        <v>9.460000000000001</v>
      </c>
      <c r="K65" s="205" t="n">
        <v>9.460000000000001</v>
      </c>
      <c r="L65" s="202" t="inlineStr">
        <is>
          <t>€/m2</t>
        </is>
      </c>
      <c r="M65" s="202" t="inlineStr">
        <is>
          <t>Closa</t>
        </is>
      </c>
      <c r="N65" s="202" t="inlineStr">
        <is>
          <t>Closa</t>
        </is>
      </c>
      <c r="O65" s="205" t="n">
        <v>0.58</v>
      </c>
      <c r="P65" s="205" t="n">
        <v>0.58</v>
      </c>
      <c r="Q65" s="202" t="inlineStr">
        <is>
          <t xml:space="preserve"> Corte (+/-m2)</t>
        </is>
      </c>
      <c r="R65" s="205" t="n"/>
      <c r="S65" s="205" t="n"/>
      <c r="T65" s="202" t="n"/>
      <c r="U65" s="205" t="n"/>
      <c r="V65" s="205" t="n"/>
      <c r="W65" s="202" t="n"/>
      <c r="X65" s="202">
        <f>((D69/1000)*(E69/1000))*G69</f>
        <v/>
      </c>
    </row>
    <row r="66">
      <c r="A66" s="202" t="inlineStr">
        <is>
          <t>COMPARATIVA</t>
        </is>
      </c>
      <c r="B66" s="204" t="n">
        <v>70</v>
      </c>
      <c r="C66" s="202" t="inlineStr">
        <is>
          <t>tablero_chopo_bb_bb</t>
        </is>
      </c>
      <c r="D66" s="202" t="inlineStr">
        <is>
          <t>Tablero</t>
        </is>
      </c>
      <c r="E66" s="202" t="inlineStr">
        <is>
          <t>Chopo</t>
        </is>
      </c>
      <c r="F66" s="202" t="inlineStr">
        <is>
          <t>BB/BB</t>
        </is>
      </c>
      <c r="G66" s="204" t="n">
        <v>2440</v>
      </c>
      <c r="H66" s="204" t="n">
        <v>1220</v>
      </c>
      <c r="I66" s="204" t="n">
        <v>15</v>
      </c>
      <c r="J66" s="205" t="n">
        <v>13.25</v>
      </c>
      <c r="K66" s="205" t="n">
        <v>13.25</v>
      </c>
      <c r="L66" s="202" t="inlineStr">
        <is>
          <t>€/m2</t>
        </is>
      </c>
      <c r="M66" s="202" t="inlineStr">
        <is>
          <t>Closa</t>
        </is>
      </c>
      <c r="N66" s="202" t="inlineStr">
        <is>
          <t>Closa</t>
        </is>
      </c>
      <c r="O66" s="205" t="n">
        <v>0.58</v>
      </c>
      <c r="P66" s="205" t="n">
        <v>0.58</v>
      </c>
      <c r="Q66" s="202" t="inlineStr">
        <is>
          <t xml:space="preserve"> Corte (+/-m2)</t>
        </is>
      </c>
      <c r="R66" s="205" t="n"/>
      <c r="S66" s="205" t="n"/>
      <c r="T66" s="202" t="n"/>
      <c r="U66" s="205" t="n"/>
      <c r="V66" s="205" t="n"/>
      <c r="W66" s="202" t="n"/>
      <c r="X66" s="202">
        <f>((D70/1000)*(E70/1000))*G70</f>
        <v/>
      </c>
    </row>
    <row r="67">
      <c r="A67" s="202" t="inlineStr">
        <is>
          <t>COMPARATIVA</t>
        </is>
      </c>
      <c r="B67" s="204" t="n">
        <v>71</v>
      </c>
      <c r="C67" s="202" t="inlineStr">
        <is>
          <t>tablero_chopo_bb_bb</t>
        </is>
      </c>
      <c r="D67" s="202" t="inlineStr">
        <is>
          <t>Tablero</t>
        </is>
      </c>
      <c r="E67" s="202" t="inlineStr">
        <is>
          <t>Chopo</t>
        </is>
      </c>
      <c r="F67" s="202" t="inlineStr">
        <is>
          <t>BB/BB</t>
        </is>
      </c>
      <c r="G67" s="204" t="n">
        <v>2500</v>
      </c>
      <c r="H67" s="204" t="n">
        <v>1220</v>
      </c>
      <c r="I67" s="204" t="n">
        <v>15</v>
      </c>
      <c r="J67" s="205" t="n">
        <v>14.27</v>
      </c>
      <c r="K67" s="205" t="n">
        <v>14.27</v>
      </c>
      <c r="L67" s="202" t="inlineStr">
        <is>
          <t>€/m2</t>
        </is>
      </c>
      <c r="M67" s="202" t="inlineStr">
        <is>
          <t>Gabarro</t>
        </is>
      </c>
      <c r="N67" s="202" t="inlineStr">
        <is>
          <t>Gabarro</t>
        </is>
      </c>
      <c r="O67" s="205" t="n">
        <v>1.81</v>
      </c>
      <c r="P67" s="205">
        <f>425.35/235</f>
        <v/>
      </c>
      <c r="Q67" s="202" t="inlineStr">
        <is>
          <t>Corte (+/-m2)</t>
        </is>
      </c>
      <c r="R67" s="205" t="n"/>
      <c r="S67" s="205" t="n"/>
      <c r="T67" s="202" t="n"/>
      <c r="U67" s="205" t="n"/>
      <c r="V67" s="205" t="n"/>
      <c r="W67" s="202" t="n"/>
      <c r="X67" s="202">
        <f>((D71/1000)*(E71/1000))*G71</f>
        <v/>
      </c>
    </row>
    <row r="68">
      <c r="A68" s="202" t="inlineStr">
        <is>
          <t>COMPARATIVA</t>
        </is>
      </c>
      <c r="B68" s="204" t="n">
        <v>72</v>
      </c>
      <c r="C68" s="202" t="inlineStr">
        <is>
          <t>tablero_chopo_bb_bb</t>
        </is>
      </c>
      <c r="D68" s="202" t="inlineStr">
        <is>
          <t>Tablero</t>
        </is>
      </c>
      <c r="E68" s="202" t="inlineStr">
        <is>
          <t>Chopo</t>
        </is>
      </c>
      <c r="F68" s="202" t="inlineStr">
        <is>
          <t>BB/BB</t>
        </is>
      </c>
      <c r="G68" s="204" t="n">
        <v>2500</v>
      </c>
      <c r="H68" s="204" t="n">
        <v>1220</v>
      </c>
      <c r="I68" s="204" t="n">
        <v>15</v>
      </c>
      <c r="J68" s="205" t="n">
        <v>13.5</v>
      </c>
      <c r="K68" s="205" t="n">
        <v>13.5</v>
      </c>
      <c r="L68" s="202" t="inlineStr">
        <is>
          <t>€/m2</t>
        </is>
      </c>
      <c r="M68" s="202" t="inlineStr">
        <is>
          <t xml:space="preserve">Albaertch </t>
        </is>
      </c>
      <c r="N68" s="202" t="inlineStr">
        <is>
          <t xml:space="preserve">Albaertch </t>
        </is>
      </c>
      <c r="O68" s="205" t="n"/>
      <c r="P68" s="205" t="n"/>
      <c r="Q68" s="202" t="n"/>
      <c r="R68" s="205" t="n"/>
      <c r="S68" s="205" t="n"/>
      <c r="T68" s="202" t="n"/>
      <c r="U68" s="205" t="n">
        <v>13.05</v>
      </c>
      <c r="V68" s="205" t="n">
        <v>13.05</v>
      </c>
      <c r="W68" s="202" t="inlineStr">
        <is>
          <t>Paquete</t>
        </is>
      </c>
      <c r="X68" s="202">
        <f>((D72/1000)*(E72/1000))*G72</f>
        <v/>
      </c>
    </row>
    <row r="69">
      <c r="A69" s="202" t="inlineStr">
        <is>
          <t>COMPARATIVA</t>
        </is>
      </c>
      <c r="B69" s="204" t="n">
        <v>73</v>
      </c>
      <c r="C69" s="202" t="inlineStr">
        <is>
          <t>tablero_chopo_bb_bb</t>
        </is>
      </c>
      <c r="D69" s="202" t="inlineStr">
        <is>
          <t>Tablero</t>
        </is>
      </c>
      <c r="E69" s="202" t="inlineStr">
        <is>
          <t>Chopo</t>
        </is>
      </c>
      <c r="F69" s="202" t="inlineStr">
        <is>
          <t>BB/BB</t>
        </is>
      </c>
      <c r="G69" s="204" t="n">
        <v>2500</v>
      </c>
      <c r="H69" s="204" t="n">
        <v>1220</v>
      </c>
      <c r="I69" s="204" t="n">
        <v>15</v>
      </c>
      <c r="J69" s="205" t="n">
        <v>20.3</v>
      </c>
      <c r="K69" s="205" t="n">
        <v>20.3</v>
      </c>
      <c r="L69" s="202" t="inlineStr">
        <is>
          <t>€/m2</t>
        </is>
      </c>
      <c r="M69" s="202" t="inlineStr">
        <is>
          <t>Mausa</t>
        </is>
      </c>
      <c r="N69" s="202" t="inlineStr">
        <is>
          <t>Mausa</t>
        </is>
      </c>
      <c r="O69" s="205" t="n"/>
      <c r="P69" s="205" t="n"/>
      <c r="Q69" s="202" t="n"/>
      <c r="R69" s="205" t="n"/>
      <c r="S69" s="205" t="n"/>
      <c r="T69" s="202" t="n"/>
      <c r="U69" s="205" t="n"/>
      <c r="V69" s="205" t="n"/>
      <c r="W69" s="202" t="n"/>
      <c r="X69" s="202">
        <f>((D73/1000)*(E73/1000))*G73</f>
        <v/>
      </c>
    </row>
    <row r="70">
      <c r="A70" s="202" t="inlineStr">
        <is>
          <t>COMPARATIVA</t>
        </is>
      </c>
      <c r="B70" s="204" t="n">
        <v>75</v>
      </c>
      <c r="C70" s="202" t="inlineStr">
        <is>
          <t>tablero_osb_tablero_osb_3_xop</t>
        </is>
      </c>
      <c r="D70" s="202" t="inlineStr">
        <is>
          <t>Tablero</t>
        </is>
      </c>
      <c r="E70" s="202" t="inlineStr">
        <is>
          <t>OSB</t>
        </is>
      </c>
      <c r="F70" s="202" t="inlineStr">
        <is>
          <t xml:space="preserve">Tablero OSB 3 XOP </t>
        </is>
      </c>
      <c r="G70" s="204" t="n">
        <v>2500</v>
      </c>
      <c r="H70" s="204" t="n">
        <v>1250</v>
      </c>
      <c r="I70" s="204" t="n">
        <v>9</v>
      </c>
      <c r="J70" s="205" t="n">
        <v>4.16</v>
      </c>
      <c r="K70" s="205" t="n">
        <v>4.16</v>
      </c>
      <c r="L70" s="202" t="inlineStr">
        <is>
          <t>€/m2</t>
        </is>
      </c>
      <c r="M70" s="202" t="inlineStr">
        <is>
          <t>Closa</t>
        </is>
      </c>
      <c r="N70" s="202" t="inlineStr">
        <is>
          <t>Closa</t>
        </is>
      </c>
      <c r="O70" s="205" t="n"/>
      <c r="P70" s="205" t="n"/>
      <c r="Q70" s="202" t="n"/>
      <c r="R70" s="205" t="n"/>
      <c r="S70" s="205" t="n"/>
      <c r="T70" s="202" t="n"/>
      <c r="U70" s="205" t="n">
        <v>3.91</v>
      </c>
      <c r="V70" s="205" t="n">
        <v>3.91</v>
      </c>
      <c r="W70" s="202" t="inlineStr">
        <is>
          <t>Paquete</t>
        </is>
      </c>
      <c r="X70" s="202" t="n"/>
    </row>
    <row r="71">
      <c r="A71" s="202" t="inlineStr">
        <is>
          <t>COMPARATIVA</t>
        </is>
      </c>
      <c r="B71" s="204" t="n">
        <v>76</v>
      </c>
      <c r="C71" s="202" t="inlineStr">
        <is>
          <t>tablero_osb_tablero_osb_3_xop</t>
        </is>
      </c>
      <c r="D71" s="202" t="inlineStr">
        <is>
          <t>Tablero</t>
        </is>
      </c>
      <c r="E71" s="202" t="inlineStr">
        <is>
          <t>OSB</t>
        </is>
      </c>
      <c r="F71" s="202" t="inlineStr">
        <is>
          <t xml:space="preserve">Tablero OSB 3 XOP </t>
        </is>
      </c>
      <c r="G71" s="204" t="n">
        <v>2500</v>
      </c>
      <c r="H71" s="204" t="n">
        <v>1250</v>
      </c>
      <c r="I71" s="204" t="n">
        <v>15</v>
      </c>
      <c r="J71" s="205" t="n">
        <v>6.18</v>
      </c>
      <c r="K71" s="205" t="n">
        <v>6.18</v>
      </c>
      <c r="L71" s="202" t="inlineStr">
        <is>
          <t>€/m2</t>
        </is>
      </c>
      <c r="M71" s="202" t="inlineStr">
        <is>
          <t>Closa</t>
        </is>
      </c>
      <c r="N71" s="202" t="inlineStr">
        <is>
          <t>Closa</t>
        </is>
      </c>
      <c r="O71" s="205" t="n"/>
      <c r="P71" s="205" t="n"/>
      <c r="Q71" s="202" t="n"/>
      <c r="R71" s="205" t="n"/>
      <c r="S71" s="205" t="n"/>
      <c r="T71" s="202" t="n"/>
      <c r="U71" s="205" t="n">
        <v>5.82</v>
      </c>
      <c r="V71" s="205" t="n">
        <v>5.82</v>
      </c>
      <c r="W71" s="202" t="inlineStr">
        <is>
          <t>Paquete</t>
        </is>
      </c>
      <c r="X71" s="202" t="n"/>
    </row>
    <row r="72">
      <c r="A72" s="202" t="inlineStr">
        <is>
          <t>COMPARATIVA</t>
        </is>
      </c>
      <c r="B72" s="204" t="n">
        <v>77</v>
      </c>
      <c r="C72" s="202" t="inlineStr">
        <is>
          <t>tablero_osb_tablero_osb_3_xop</t>
        </is>
      </c>
      <c r="D72" s="202" t="inlineStr">
        <is>
          <t>Tablero</t>
        </is>
      </c>
      <c r="E72" s="202" t="inlineStr">
        <is>
          <t>OSB</t>
        </is>
      </c>
      <c r="F72" s="202" t="inlineStr">
        <is>
          <t xml:space="preserve">Tablero OSB 3 XOP </t>
        </is>
      </c>
      <c r="G72" s="204" t="n">
        <v>2500</v>
      </c>
      <c r="H72" s="204" t="n">
        <v>1250</v>
      </c>
      <c r="I72" s="204" t="n">
        <v>18</v>
      </c>
      <c r="J72" s="205" t="n">
        <v>7.88</v>
      </c>
      <c r="K72" s="205" t="n">
        <v>7.88</v>
      </c>
      <c r="L72" s="202" t="inlineStr">
        <is>
          <t>€/m2</t>
        </is>
      </c>
      <c r="M72" s="202" t="inlineStr">
        <is>
          <t>Closa</t>
        </is>
      </c>
      <c r="N72" s="202" t="inlineStr">
        <is>
          <t>Closa</t>
        </is>
      </c>
      <c r="O72" s="205" t="n"/>
      <c r="P72" s="205" t="n"/>
      <c r="Q72" s="202" t="n"/>
      <c r="R72" s="205" t="n"/>
      <c r="S72" s="205" t="n"/>
      <c r="T72" s="202" t="n"/>
      <c r="U72" s="205" t="n">
        <v>7.41</v>
      </c>
      <c r="V72" s="205" t="n">
        <v>7.41</v>
      </c>
      <c r="W72" s="202" t="inlineStr">
        <is>
          <t>Paquete</t>
        </is>
      </c>
      <c r="X72" s="202" t="n"/>
    </row>
    <row r="73">
      <c r="A73" s="202" t="inlineStr">
        <is>
          <t>COMPARATIVA</t>
        </is>
      </c>
      <c r="B73" s="204" t="n">
        <v>78</v>
      </c>
      <c r="C73" s="202" t="inlineStr">
        <is>
          <t>tablero_osb_tablero_osb_3_xop</t>
        </is>
      </c>
      <c r="D73" s="202" t="inlineStr">
        <is>
          <t>Tablero</t>
        </is>
      </c>
      <c r="E73" s="202" t="inlineStr">
        <is>
          <t>OSB</t>
        </is>
      </c>
      <c r="F73" s="202" t="inlineStr">
        <is>
          <t xml:space="preserve">Tablero OSB 3 XOP </t>
        </is>
      </c>
      <c r="G73" s="204" t="n">
        <v>2500</v>
      </c>
      <c r="H73" s="204" t="n">
        <v>1250</v>
      </c>
      <c r="I73" s="204" t="n">
        <v>22</v>
      </c>
      <c r="J73" s="205" t="n">
        <v>9.859999999999999</v>
      </c>
      <c r="K73" s="205" t="n">
        <v>9.859999999999999</v>
      </c>
      <c r="L73" s="202" t="inlineStr">
        <is>
          <t>€/m2</t>
        </is>
      </c>
      <c r="M73" s="202" t="inlineStr">
        <is>
          <t>Closa</t>
        </is>
      </c>
      <c r="N73" s="202" t="inlineStr">
        <is>
          <t>Closa</t>
        </is>
      </c>
      <c r="O73" s="205" t="n"/>
      <c r="P73" s="205" t="n"/>
      <c r="Q73" s="202" t="n"/>
      <c r="R73" s="205" t="n"/>
      <c r="S73" s="205" t="n"/>
      <c r="T73" s="202" t="n"/>
      <c r="U73" s="205" t="n">
        <v>9.27</v>
      </c>
      <c r="V73" s="205" t="n">
        <v>9.27</v>
      </c>
      <c r="W73" s="202" t="inlineStr">
        <is>
          <t>Paquete</t>
        </is>
      </c>
      <c r="X73" s="202" t="n"/>
    </row>
    <row r="74">
      <c r="A74" s="202" t="inlineStr">
        <is>
          <t>COMPARATIVA</t>
        </is>
      </c>
      <c r="B74" s="204" t="n">
        <v>80</v>
      </c>
      <c r="C74" s="202" t="inlineStr">
        <is>
          <t>liston_pino_liston_flandes_45_21</t>
        </is>
      </c>
      <c r="D74" s="202" t="inlineStr">
        <is>
          <t>Liston</t>
        </is>
      </c>
      <c r="E74" s="202" t="inlineStr">
        <is>
          <t>Pino</t>
        </is>
      </c>
      <c r="F74" s="202" t="inlineStr">
        <is>
          <t>Liston Flandes  45*21</t>
        </is>
      </c>
      <c r="G74" s="204" t="n">
        <v>4500</v>
      </c>
      <c r="H74" s="204" t="n">
        <v>45</v>
      </c>
      <c r="I74" s="204" t="n">
        <v>21</v>
      </c>
      <c r="J74" s="205" t="n">
        <v>0.66</v>
      </c>
      <c r="K74" s="205" t="n">
        <v>0.66</v>
      </c>
      <c r="L74" s="202" t="inlineStr">
        <is>
          <t>€/ml</t>
        </is>
      </c>
      <c r="M74" s="202" t="inlineStr">
        <is>
          <t>Forestal Vic</t>
        </is>
      </c>
      <c r="N74" s="202" t="inlineStr">
        <is>
          <t>Forestal Vic</t>
        </is>
      </c>
      <c r="O74" s="205" t="n"/>
      <c r="P74" s="205" t="n"/>
      <c r="Q74" s="202" t="n"/>
      <c r="R74" s="205" t="n"/>
      <c r="S74" s="205" t="n"/>
      <c r="T74" s="202" t="n"/>
      <c r="U74" s="205" t="n"/>
      <c r="V74" s="205" t="n"/>
      <c r="W74" s="202" t="n"/>
      <c r="X74" s="202" t="n"/>
    </row>
    <row r="75">
      <c r="A75" s="202" t="inlineStr">
        <is>
          <t>COMPARATIVA</t>
        </is>
      </c>
      <c r="B75" s="204" t="n">
        <v>81</v>
      </c>
      <c r="C75" s="202" t="inlineStr">
        <is>
          <t>liston_pino_liston_flandes_45_21</t>
        </is>
      </c>
      <c r="D75" s="202" t="inlineStr">
        <is>
          <t>Liston</t>
        </is>
      </c>
      <c r="E75" s="202" t="inlineStr">
        <is>
          <t>Pino</t>
        </is>
      </c>
      <c r="F75" s="202" t="inlineStr">
        <is>
          <t>Liston Flandes  45*21</t>
        </is>
      </c>
      <c r="G75" s="204" t="n">
        <v>4500</v>
      </c>
      <c r="H75" s="204" t="n">
        <v>45</v>
      </c>
      <c r="I75" s="204" t="n">
        <v>21</v>
      </c>
      <c r="J75" s="205" t="n">
        <v>0.73</v>
      </c>
      <c r="K75" s="205" t="n">
        <v>0.73</v>
      </c>
      <c r="L75" s="202" t="inlineStr">
        <is>
          <t>€/ml</t>
        </is>
      </c>
      <c r="M75" s="202" t="inlineStr">
        <is>
          <t xml:space="preserve">Albaertch </t>
        </is>
      </c>
      <c r="N75" s="202" t="inlineStr">
        <is>
          <t xml:space="preserve">Albaertch </t>
        </is>
      </c>
      <c r="O75" s="205" t="n"/>
      <c r="P75" s="205" t="n"/>
      <c r="Q75" s="202" t="n"/>
      <c r="R75" s="205" t="n"/>
      <c r="S75" s="205" t="n"/>
      <c r="T75" s="202" t="n"/>
      <c r="U75" s="205" t="n"/>
      <c r="V75" s="205" t="n"/>
      <c r="W75" s="202" t="n"/>
      <c r="X75" s="202" t="n"/>
    </row>
    <row r="76">
      <c r="A76" s="202" t="inlineStr">
        <is>
          <t>COMPARATIVA</t>
        </is>
      </c>
      <c r="B76" s="204" t="n">
        <v>82</v>
      </c>
      <c r="C76" s="202" t="inlineStr">
        <is>
          <t>liston_pino_liston_flandes_45_21</t>
        </is>
      </c>
      <c r="D76" s="202" t="inlineStr">
        <is>
          <t>Liston</t>
        </is>
      </c>
      <c r="E76" s="202" t="inlineStr">
        <is>
          <t>Pino</t>
        </is>
      </c>
      <c r="F76" s="202" t="inlineStr">
        <is>
          <t>Liston Flandes  45*21</t>
        </is>
      </c>
      <c r="G76" s="204" t="n">
        <v>4500</v>
      </c>
      <c r="H76" s="204" t="n">
        <v>45</v>
      </c>
      <c r="I76" s="204" t="n">
        <v>21</v>
      </c>
      <c r="J76" s="205" t="n">
        <v>0.9</v>
      </c>
      <c r="K76" s="205" t="n">
        <v>0.9</v>
      </c>
      <c r="L76" s="202" t="inlineStr">
        <is>
          <t>€/ml</t>
        </is>
      </c>
      <c r="M76" s="202" t="inlineStr">
        <is>
          <t>Mausa</t>
        </is>
      </c>
      <c r="N76" s="202" t="inlineStr">
        <is>
          <t>Mausa</t>
        </is>
      </c>
      <c r="O76" s="205" t="n"/>
      <c r="P76" s="205" t="n"/>
      <c r="Q76" s="202" t="n"/>
      <c r="R76" s="205" t="n"/>
      <c r="S76" s="205" t="n"/>
      <c r="T76" s="202" t="n"/>
      <c r="U76" s="205" t="n"/>
      <c r="V76" s="205" t="n"/>
      <c r="W76" s="202" t="n"/>
      <c r="X76" s="202" t="n"/>
    </row>
    <row r="77">
      <c r="A77" s="202" t="inlineStr">
        <is>
          <t>COMPARATIVA</t>
        </is>
      </c>
      <c r="B77" s="204" t="n">
        <v>83</v>
      </c>
      <c r="C77" s="202" t="inlineStr">
        <is>
          <t>liston_pino_liston_flandes_45_20</t>
        </is>
      </c>
      <c r="D77" s="202" t="inlineStr">
        <is>
          <t>Liston</t>
        </is>
      </c>
      <c r="E77" s="202" t="inlineStr">
        <is>
          <t>Pino</t>
        </is>
      </c>
      <c r="F77" s="202" t="inlineStr">
        <is>
          <t>Liston Flandes  45*20</t>
        </is>
      </c>
      <c r="G77" s="204" t="n">
        <v>4500</v>
      </c>
      <c r="H77" s="204" t="n">
        <v>45</v>
      </c>
      <c r="I77" s="204" t="n">
        <v>20</v>
      </c>
      <c r="J77" s="205" t="n">
        <v>1.02</v>
      </c>
      <c r="K77" s="205" t="n">
        <v>1.02</v>
      </c>
      <c r="L77" s="202" t="inlineStr">
        <is>
          <t>€/ml</t>
        </is>
      </c>
      <c r="M77" s="202" t="inlineStr">
        <is>
          <t>Closa</t>
        </is>
      </c>
      <c r="N77" s="202" t="inlineStr">
        <is>
          <t>Closa</t>
        </is>
      </c>
      <c r="O77" s="205" t="n"/>
      <c r="P77" s="205" t="n"/>
      <c r="Q77" s="202" t="n"/>
      <c r="R77" s="205" t="n"/>
      <c r="S77" s="205" t="n"/>
      <c r="T77" s="202" t="n"/>
      <c r="U77" s="205" t="n">
        <v>0.97</v>
      </c>
      <c r="V77" s="205" t="n">
        <v>0.97</v>
      </c>
      <c r="W77" s="202" t="inlineStr">
        <is>
          <t>Paquete</t>
        </is>
      </c>
      <c r="X77" s="202" t="n"/>
    </row>
    <row r="78">
      <c r="A78" s="202" t="inlineStr">
        <is>
          <t>COMPARATIVA</t>
        </is>
      </c>
      <c r="B78" s="204" t="n">
        <v>84</v>
      </c>
      <c r="C78" s="202" t="inlineStr">
        <is>
          <t>liston_pino_liston_flandes_45_45</t>
        </is>
      </c>
      <c r="D78" s="202" t="inlineStr">
        <is>
          <t>Liston</t>
        </is>
      </c>
      <c r="E78" s="202" t="inlineStr">
        <is>
          <t>Pino</t>
        </is>
      </c>
      <c r="F78" s="202" t="inlineStr">
        <is>
          <t>Liston Flandes  45*45</t>
        </is>
      </c>
      <c r="G78" s="204" t="n">
        <v>4500</v>
      </c>
      <c r="H78" s="204" t="n">
        <v>45</v>
      </c>
      <c r="I78" s="204" t="n">
        <v>45</v>
      </c>
      <c r="J78" s="205" t="n">
        <v>1.33</v>
      </c>
      <c r="K78" s="205" t="n">
        <v>1.33</v>
      </c>
      <c r="L78" s="202" t="inlineStr">
        <is>
          <t>€/ml</t>
        </is>
      </c>
      <c r="M78" s="202" t="inlineStr">
        <is>
          <t>Forestal Vic</t>
        </is>
      </c>
      <c r="N78" s="202" t="inlineStr">
        <is>
          <t>Forestal Vic</t>
        </is>
      </c>
      <c r="O78" s="205" t="n"/>
      <c r="P78" s="205" t="n"/>
      <c r="Q78" s="202" t="n"/>
      <c r="R78" s="205" t="n"/>
      <c r="S78" s="205" t="n"/>
      <c r="T78" s="202" t="n"/>
      <c r="U78" s="205" t="n"/>
      <c r="V78" s="205" t="n"/>
      <c r="W78" s="202" t="n"/>
      <c r="X78" s="202" t="n"/>
    </row>
    <row r="79">
      <c r="A79" s="202" t="inlineStr">
        <is>
          <t>COMPARATIVA</t>
        </is>
      </c>
      <c r="B79" s="204" t="n">
        <v>85</v>
      </c>
      <c r="C79" s="202" t="inlineStr">
        <is>
          <t>liston_pino_liston_flandes_45_45_son_de_12mts_les_podem_vendre_a_3000_4000_5000_6000_70000</t>
        </is>
      </c>
      <c r="D79" s="202" t="inlineStr">
        <is>
          <t>Liston</t>
        </is>
      </c>
      <c r="E79" s="202" t="inlineStr">
        <is>
          <t>Pino</t>
        </is>
      </c>
      <c r="F79" s="202" t="inlineStr">
        <is>
          <t>Liston Flandes  45*45  (SON DE 12MTS, LES PODEM VENDRE A 3000,4000,5000,6000,70000)</t>
        </is>
      </c>
      <c r="G79" s="204" t="n">
        <v>4500</v>
      </c>
      <c r="H79" s="204" t="n">
        <v>45</v>
      </c>
      <c r="I79" s="204" t="n">
        <v>45</v>
      </c>
      <c r="J79" s="205" t="n">
        <v>1.1</v>
      </c>
      <c r="K79" s="205" t="n">
        <v>1.1</v>
      </c>
      <c r="L79" s="202" t="inlineStr">
        <is>
          <t>€/ml</t>
        </is>
      </c>
      <c r="M79" s="202" t="inlineStr">
        <is>
          <t xml:space="preserve">Albaertch </t>
        </is>
      </c>
      <c r="N79" s="202" t="inlineStr">
        <is>
          <t xml:space="preserve">Albaertch </t>
        </is>
      </c>
      <c r="O79" s="205" t="n"/>
      <c r="P79" s="205" t="n"/>
      <c r="Q79" s="202" t="n"/>
      <c r="R79" s="205" t="n"/>
      <c r="S79" s="205" t="n"/>
      <c r="T79" s="202" t="n"/>
      <c r="U79" s="205" t="n"/>
      <c r="V79" s="205" t="n"/>
      <c r="W79" s="202" t="n"/>
      <c r="X79" s="202" t="n"/>
    </row>
    <row r="80">
      <c r="A80" s="202" t="inlineStr">
        <is>
          <t>COMPARATIVA</t>
        </is>
      </c>
      <c r="B80" s="204" t="n">
        <v>86</v>
      </c>
      <c r="C80" s="202" t="inlineStr">
        <is>
          <t>liston_pino_liston_flandes_45_45</t>
        </is>
      </c>
      <c r="D80" s="202" t="inlineStr">
        <is>
          <t>Liston</t>
        </is>
      </c>
      <c r="E80" s="202" t="inlineStr">
        <is>
          <t>Pino</t>
        </is>
      </c>
      <c r="F80" s="202" t="inlineStr">
        <is>
          <t xml:space="preserve">Liston Flandes  45*45  </t>
        </is>
      </c>
      <c r="G80" s="204" t="n">
        <v>4500</v>
      </c>
      <c r="H80" s="204" t="n">
        <v>45</v>
      </c>
      <c r="I80" s="204" t="n">
        <v>45</v>
      </c>
      <c r="J80" s="205" t="n">
        <v>1.67</v>
      </c>
      <c r="K80" s="205" t="n">
        <v>1.67</v>
      </c>
      <c r="L80" s="202" t="inlineStr">
        <is>
          <t>€/ml</t>
        </is>
      </c>
      <c r="M80" s="202" t="inlineStr">
        <is>
          <t>Closa</t>
        </is>
      </c>
      <c r="N80" s="202" t="inlineStr">
        <is>
          <t>Closa</t>
        </is>
      </c>
      <c r="O80" s="205" t="n"/>
      <c r="P80" s="205" t="n"/>
      <c r="Q80" s="202" t="n"/>
      <c r="R80" s="205" t="n"/>
      <c r="S80" s="205" t="n"/>
      <c r="T80" s="202" t="n"/>
      <c r="U80" s="205" t="n">
        <v>1.67</v>
      </c>
      <c r="V80" s="205" t="n">
        <v>1.67</v>
      </c>
      <c r="W80" s="202" t="inlineStr">
        <is>
          <t>Paquete</t>
        </is>
      </c>
      <c r="X80" s="202" t="n"/>
    </row>
    <row r="81">
      <c r="A81" s="202" t="inlineStr">
        <is>
          <t>COMPARATIVA</t>
        </is>
      </c>
      <c r="B81" s="204" t="n">
        <v>87</v>
      </c>
      <c r="C81" s="202" t="inlineStr">
        <is>
          <t>liston_pino_liston_flandes_45_70</t>
        </is>
      </c>
      <c r="D81" s="202" t="inlineStr">
        <is>
          <t>Liston</t>
        </is>
      </c>
      <c r="E81" s="202" t="inlineStr">
        <is>
          <t>Pino</t>
        </is>
      </c>
      <c r="F81" s="202" t="inlineStr">
        <is>
          <t>Liston Flandes  45*70</t>
        </is>
      </c>
      <c r="G81" s="204" t="n">
        <v>4500</v>
      </c>
      <c r="H81" s="204" t="n">
        <v>45</v>
      </c>
      <c r="I81" s="204" t="n">
        <v>70</v>
      </c>
      <c r="J81" s="205" t="n">
        <v>1.99</v>
      </c>
      <c r="K81" s="205" t="n">
        <v>1.99</v>
      </c>
      <c r="L81" s="202" t="inlineStr">
        <is>
          <t>€/ml</t>
        </is>
      </c>
      <c r="M81" s="202" t="inlineStr">
        <is>
          <t>Forestal Vic</t>
        </is>
      </c>
      <c r="N81" s="202" t="inlineStr">
        <is>
          <t>Forestal Vic</t>
        </is>
      </c>
      <c r="O81" s="205" t="n"/>
      <c r="P81" s="205" t="n"/>
      <c r="Q81" s="202" t="n"/>
      <c r="R81" s="205" t="n"/>
      <c r="S81" s="205" t="n"/>
      <c r="T81" s="202" t="n"/>
      <c r="U81" s="205" t="n"/>
      <c r="V81" s="205" t="n"/>
      <c r="W81" s="202" t="n"/>
      <c r="X81" s="202" t="n"/>
    </row>
    <row r="82">
      <c r="A82" s="202" t="inlineStr">
        <is>
          <t>COMPARATIVA</t>
        </is>
      </c>
      <c r="B82" s="204" t="n">
        <v>88</v>
      </c>
      <c r="C82" s="202" t="inlineStr">
        <is>
          <t>liston_pino_liston_flandes_45_70_son_de_12mts_les_podem_vendre_a_3000_4000_5000_6000_70000</t>
        </is>
      </c>
      <c r="D82" s="202" t="inlineStr">
        <is>
          <t>Liston</t>
        </is>
      </c>
      <c r="E82" s="202" t="inlineStr">
        <is>
          <t>Pino</t>
        </is>
      </c>
      <c r="F82" s="202" t="inlineStr">
        <is>
          <t>Liston Flandes  45*70  (SON DE 12MTS, LES PODEM VENDRE A 3000,4000,5000,6000,70000)</t>
        </is>
      </c>
      <c r="G82" s="204" t="n">
        <v>4500</v>
      </c>
      <c r="H82" s="204" t="n">
        <v>45</v>
      </c>
      <c r="I82" s="204" t="n">
        <v>70</v>
      </c>
      <c r="J82" s="205" t="n">
        <v>1.45</v>
      </c>
      <c r="K82" s="205" t="n">
        <v>1.45</v>
      </c>
      <c r="L82" s="202" t="inlineStr">
        <is>
          <t>€/ml</t>
        </is>
      </c>
      <c r="M82" s="202" t="inlineStr">
        <is>
          <t xml:space="preserve">Albaertch </t>
        </is>
      </c>
      <c r="N82" s="202" t="inlineStr">
        <is>
          <t xml:space="preserve">Albaertch </t>
        </is>
      </c>
      <c r="O82" s="205" t="n"/>
      <c r="P82" s="205" t="n"/>
      <c r="Q82" s="202" t="n"/>
      <c r="R82" s="205" t="n"/>
      <c r="S82" s="205" t="n"/>
      <c r="T82" s="202" t="n"/>
      <c r="U82" s="205" t="n"/>
      <c r="V82" s="205" t="n"/>
      <c r="W82" s="202" t="n"/>
      <c r="X82" s="202" t="n"/>
    </row>
    <row r="83">
      <c r="A83" s="202" t="inlineStr">
        <is>
          <t>COMPARATIVA</t>
        </is>
      </c>
      <c r="B83" s="204" t="n">
        <v>89</v>
      </c>
      <c r="C83" s="202" t="inlineStr">
        <is>
          <t>liston_pino_liston_flandes_45_70</t>
        </is>
      </c>
      <c r="D83" s="202" t="inlineStr">
        <is>
          <t>Liston</t>
        </is>
      </c>
      <c r="E83" s="202" t="inlineStr">
        <is>
          <t>Pino</t>
        </is>
      </c>
      <c r="F83" s="202" t="inlineStr">
        <is>
          <t xml:space="preserve">Liston Flandes  45*70  </t>
        </is>
      </c>
      <c r="G83" s="204" t="n">
        <v>4500</v>
      </c>
      <c r="H83" s="204" t="n">
        <v>45</v>
      </c>
      <c r="I83" s="204" t="n">
        <v>70</v>
      </c>
      <c r="J83" s="205" t="n">
        <v>2.37</v>
      </c>
      <c r="K83" s="205" t="n">
        <v>2.37</v>
      </c>
      <c r="L83" s="202" t="inlineStr">
        <is>
          <t>€/ml</t>
        </is>
      </c>
      <c r="M83" s="202" t="inlineStr">
        <is>
          <t>Closa</t>
        </is>
      </c>
      <c r="N83" s="202" t="inlineStr">
        <is>
          <t>Closa</t>
        </is>
      </c>
      <c r="O83" s="205" t="n"/>
      <c r="P83" s="205" t="n"/>
      <c r="Q83" s="202" t="n"/>
      <c r="R83" s="205" t="n"/>
      <c r="S83" s="205" t="n"/>
      <c r="T83" s="202" t="n"/>
      <c r="U83" s="205" t="n">
        <v>2.25</v>
      </c>
      <c r="V83" s="205" t="n">
        <v>2.25</v>
      </c>
      <c r="W83" s="202" t="inlineStr">
        <is>
          <t>Paquete</t>
        </is>
      </c>
      <c r="X83" s="202" t="n"/>
    </row>
    <row r="84">
      <c r="A84" s="202" t="inlineStr">
        <is>
          <t>COMPARATIVA</t>
        </is>
      </c>
      <c r="B84" s="204" t="n">
        <v>90</v>
      </c>
      <c r="C84" s="202" t="inlineStr">
        <is>
          <t>liston_pino_liston_flandes_20_90</t>
        </is>
      </c>
      <c r="D84" s="202" t="inlineStr">
        <is>
          <t>Liston</t>
        </is>
      </c>
      <c r="E84" s="202" t="inlineStr">
        <is>
          <t>Pino</t>
        </is>
      </c>
      <c r="F84" s="202" t="inlineStr">
        <is>
          <t>Liston Flandes  20*90</t>
        </is>
      </c>
      <c r="G84" s="204" t="n">
        <v>4200</v>
      </c>
      <c r="H84" s="204" t="n">
        <v>20</v>
      </c>
      <c r="I84" s="204" t="n">
        <v>90</v>
      </c>
      <c r="J84" s="205" t="n">
        <v>1.95</v>
      </c>
      <c r="K84" s="205" t="n">
        <v>1.95</v>
      </c>
      <c r="L84" s="202" t="inlineStr">
        <is>
          <t>€/ml</t>
        </is>
      </c>
      <c r="M84" s="202" t="inlineStr">
        <is>
          <t>Forestal Vic</t>
        </is>
      </c>
      <c r="N84" s="202" t="inlineStr">
        <is>
          <t>Forestal Vic</t>
        </is>
      </c>
      <c r="O84" s="205" t="n"/>
      <c r="P84" s="205" t="n"/>
      <c r="Q84" s="202" t="n"/>
      <c r="R84" s="205" t="n"/>
      <c r="S84" s="205" t="n"/>
      <c r="T84" s="202" t="n"/>
      <c r="U84" s="205" t="n"/>
      <c r="V84" s="205" t="n"/>
      <c r="W84" s="202" t="n"/>
      <c r="X84" s="202" t="n"/>
    </row>
    <row r="85">
      <c r="A85" s="202" t="inlineStr">
        <is>
          <t>COMPARATIVA</t>
        </is>
      </c>
      <c r="B85" s="204" t="n">
        <v>91</v>
      </c>
      <c r="C85" s="202" t="inlineStr">
        <is>
          <t>liston_pino_liston_flandes_22_96</t>
        </is>
      </c>
      <c r="D85" s="202" t="inlineStr">
        <is>
          <t>Liston</t>
        </is>
      </c>
      <c r="E85" s="202" t="inlineStr">
        <is>
          <t>Pino</t>
        </is>
      </c>
      <c r="F85" s="202" t="inlineStr">
        <is>
          <t>Liston Flandes  22*96</t>
        </is>
      </c>
      <c r="G85" s="204" t="n">
        <v>3900</v>
      </c>
      <c r="H85" s="204" t="n">
        <v>22</v>
      </c>
      <c r="I85" s="204" t="n">
        <v>96</v>
      </c>
      <c r="J85" s="205" t="n">
        <v>1.45</v>
      </c>
      <c r="K85" s="205" t="n">
        <v>1.45</v>
      </c>
      <c r="L85" s="202" t="inlineStr">
        <is>
          <t>€/ml</t>
        </is>
      </c>
      <c r="M85" s="202" t="inlineStr">
        <is>
          <t>Albertch</t>
        </is>
      </c>
      <c r="N85" s="202" t="inlineStr">
        <is>
          <t>Albertch</t>
        </is>
      </c>
      <c r="O85" s="205" t="n"/>
      <c r="P85" s="205" t="n"/>
      <c r="Q85" s="202" t="n"/>
      <c r="R85" s="205" t="n"/>
      <c r="S85" s="205" t="n"/>
      <c r="T85" s="202" t="n"/>
      <c r="U85" s="205" t="n"/>
      <c r="V85" s="205" t="n"/>
      <c r="W85" s="202" t="n"/>
      <c r="X85" s="202" t="n"/>
    </row>
    <row r="86">
      <c r="A86" s="202" t="inlineStr">
        <is>
          <t>COMPARATIVA</t>
        </is>
      </c>
      <c r="B86" s="204" t="n">
        <v>92</v>
      </c>
      <c r="C86" s="202" t="inlineStr">
        <is>
          <t>liston_aveto_biga_laminada_avet_gl24h</t>
        </is>
      </c>
      <c r="D86" s="202" t="inlineStr">
        <is>
          <t>Liston</t>
        </is>
      </c>
      <c r="E86" s="202" t="inlineStr">
        <is>
          <t>Aveto</t>
        </is>
      </c>
      <c r="F86" s="202" t="inlineStr">
        <is>
          <t>Biga laminada avet GL24H</t>
        </is>
      </c>
      <c r="G86" s="204" t="n">
        <v>6500</v>
      </c>
      <c r="H86" s="204" t="n">
        <v>120</v>
      </c>
      <c r="I86" s="204" t="n">
        <v>60</v>
      </c>
      <c r="J86" s="205" t="n">
        <v>5.84</v>
      </c>
      <c r="K86" s="205" t="n">
        <v>5.84</v>
      </c>
      <c r="L86" s="202" t="inlineStr">
        <is>
          <t>€/ml</t>
        </is>
      </c>
      <c r="M86" s="202" t="inlineStr">
        <is>
          <t>Forestal Vic</t>
        </is>
      </c>
      <c r="N86" s="202" t="inlineStr">
        <is>
          <t>Forestal Vic</t>
        </is>
      </c>
      <c r="O86" s="205" t="n"/>
      <c r="P86" s="205" t="n"/>
      <c r="Q86" s="202" t="n"/>
      <c r="R86" s="205" t="n"/>
      <c r="S86" s="205" t="n"/>
      <c r="T86" s="202" t="n"/>
      <c r="U86" s="205" t="n"/>
      <c r="V86" s="205" t="n"/>
      <c r="W86" s="202" t="n"/>
      <c r="X86" s="202" t="n"/>
    </row>
    <row r="87">
      <c r="A87" s="202" t="inlineStr">
        <is>
          <t>COMPARATIVA</t>
        </is>
      </c>
      <c r="B87" s="204" t="n">
        <v>93</v>
      </c>
      <c r="C87" s="202" t="inlineStr">
        <is>
          <t>liston_aveto_biga_laminada_avet_gl24h_son_de_12mts_les_podem_vendre_a_3000_4000_5000_6000_70000</t>
        </is>
      </c>
      <c r="D87" s="202" t="inlineStr">
        <is>
          <t>Liston</t>
        </is>
      </c>
      <c r="E87" s="202" t="inlineStr">
        <is>
          <t>Aveto</t>
        </is>
      </c>
      <c r="F87" s="202" t="inlineStr">
        <is>
          <t>Biga laminada avet GL24H  (SON DE 12MTS, LES PODEM VENDRE A 3000,4000,5000,6000,70000)</t>
        </is>
      </c>
      <c r="G87" s="204" t="n">
        <v>6500</v>
      </c>
      <c r="H87" s="204" t="n">
        <v>120</v>
      </c>
      <c r="I87" s="204" t="n">
        <v>60</v>
      </c>
      <c r="J87" s="205" t="n">
        <v>4.92</v>
      </c>
      <c r="K87" s="205" t="n">
        <v>4.92</v>
      </c>
      <c r="L87" s="202" t="inlineStr">
        <is>
          <t>€/ml</t>
        </is>
      </c>
      <c r="M87" s="202" t="inlineStr">
        <is>
          <t xml:space="preserve">Albaertch </t>
        </is>
      </c>
      <c r="N87" s="202" t="inlineStr">
        <is>
          <t xml:space="preserve">Albaertch </t>
        </is>
      </c>
      <c r="O87" s="205" t="n"/>
      <c r="P87" s="205" t="n"/>
      <c r="Q87" s="202" t="n"/>
      <c r="R87" s="205" t="n"/>
      <c r="S87" s="205" t="n"/>
      <c r="T87" s="202" t="n"/>
      <c r="U87" s="205" t="n"/>
      <c r="V87" s="205" t="n"/>
      <c r="W87" s="202" t="n"/>
      <c r="X87" s="202" t="n"/>
    </row>
    <row r="88">
      <c r="A88" s="202" t="inlineStr">
        <is>
          <t>COMPARATIVA</t>
        </is>
      </c>
      <c r="B88" s="204" t="n">
        <v>94</v>
      </c>
      <c r="C88" s="202" t="inlineStr">
        <is>
          <t>liston_aveto_biga_laminada_avet_120_120</t>
        </is>
      </c>
      <c r="D88" s="202" t="inlineStr">
        <is>
          <t>Liston</t>
        </is>
      </c>
      <c r="E88" s="202" t="inlineStr">
        <is>
          <t>Aveto</t>
        </is>
      </c>
      <c r="F88" s="202" t="inlineStr">
        <is>
          <t>Biga laminada avet  120*120</t>
        </is>
      </c>
      <c r="G88" s="204" t="n">
        <v>6500</v>
      </c>
      <c r="H88" s="204" t="n">
        <v>120</v>
      </c>
      <c r="I88" s="204" t="n">
        <v>120</v>
      </c>
      <c r="J88" s="205" t="n">
        <v>12</v>
      </c>
      <c r="K88" s="205" t="n">
        <v>12</v>
      </c>
      <c r="L88" s="202" t="inlineStr">
        <is>
          <t>€/ml</t>
        </is>
      </c>
      <c r="M88" s="202" t="inlineStr">
        <is>
          <t>Forestal Vic</t>
        </is>
      </c>
      <c r="N88" s="202" t="inlineStr">
        <is>
          <t>Forestal Vic</t>
        </is>
      </c>
      <c r="O88" s="205" t="n"/>
      <c r="P88" s="205" t="n"/>
      <c r="Q88" s="202" t="n"/>
      <c r="R88" s="205" t="n"/>
      <c r="S88" s="205" t="n"/>
      <c r="T88" s="202" t="n"/>
      <c r="U88" s="205" t="n"/>
      <c r="V88" s="205" t="n"/>
      <c r="W88" s="202" t="n"/>
      <c r="X88" s="202" t="n"/>
    </row>
    <row r="89">
      <c r="A89" s="202" t="inlineStr">
        <is>
          <t>COMPARATIVA</t>
        </is>
      </c>
      <c r="B89" s="204" t="n">
        <v>96</v>
      </c>
      <c r="C89" s="202" t="inlineStr">
        <is>
          <t>canto_haya_canto_xapa_22_0_8_mm_haya_natural_es_natural</t>
        </is>
      </c>
      <c r="D89" s="202" t="inlineStr">
        <is>
          <t>Canto</t>
        </is>
      </c>
      <c r="E89" s="202" t="inlineStr">
        <is>
          <t>Haya</t>
        </is>
      </c>
      <c r="F89" s="202" t="inlineStr">
        <is>
          <t>Canto xapa 22*0,8 mm Haya Natural (Es natural??)</t>
        </is>
      </c>
      <c r="G89" s="204" t="n"/>
      <c r="H89" s="204" t="n">
        <v>22</v>
      </c>
      <c r="I89" s="204" t="n">
        <v>5</v>
      </c>
      <c r="J89" s="205" t="n">
        <v>0.42</v>
      </c>
      <c r="K89" s="205" t="n">
        <v>0.42</v>
      </c>
      <c r="L89" s="202" t="inlineStr">
        <is>
          <t>€/ml</t>
        </is>
      </c>
      <c r="M89" s="202" t="inlineStr">
        <is>
          <t>Closa</t>
        </is>
      </c>
      <c r="N89" s="202" t="inlineStr">
        <is>
          <t>Closa</t>
        </is>
      </c>
      <c r="O89" s="205" t="n"/>
      <c r="P89" s="205" t="n"/>
      <c r="Q89" s="202" t="n"/>
      <c r="R89" s="205" t="n"/>
      <c r="S89" s="205" t="n"/>
      <c r="T89" s="202" t="n"/>
      <c r="U89" s="205" t="n"/>
      <c r="V89" s="205" t="n"/>
      <c r="W89" s="202" t="n"/>
      <c r="X89" s="202" t="n"/>
    </row>
    <row r="90">
      <c r="A90" s="202" t="inlineStr">
        <is>
          <t>COMPARATIVA</t>
        </is>
      </c>
      <c r="B90" s="204" t="n">
        <v>97</v>
      </c>
      <c r="C90" s="202" t="inlineStr">
        <is>
          <t>canto_haya_canto_xapa_22_5mm_haya_natural</t>
        </is>
      </c>
      <c r="D90" s="202" t="inlineStr">
        <is>
          <t>Canto</t>
        </is>
      </c>
      <c r="E90" s="202" t="inlineStr">
        <is>
          <t>Haya</t>
        </is>
      </c>
      <c r="F90" s="202" t="inlineStr">
        <is>
          <t>Canto xapa 22*5mm Haya Natural</t>
        </is>
      </c>
      <c r="G90" s="204" t="n"/>
      <c r="H90" s="204" t="n">
        <v>22</v>
      </c>
      <c r="I90" s="204" t="n">
        <v>5</v>
      </c>
      <c r="J90" s="205" t="n">
        <v>0.35</v>
      </c>
      <c r="K90" s="205" t="n">
        <v>0.35</v>
      </c>
      <c r="L90" s="202" t="inlineStr">
        <is>
          <t>€/ml</t>
        </is>
      </c>
      <c r="M90" s="202" t="inlineStr">
        <is>
          <t>M&amp;M Cantos</t>
        </is>
      </c>
      <c r="N90" s="202" t="inlineStr">
        <is>
          <t>M&amp;M Cantos</t>
        </is>
      </c>
      <c r="O90" s="205" t="n"/>
      <c r="P90" s="205" t="n"/>
      <c r="Q90" s="202" t="n"/>
      <c r="R90" s="205" t="n"/>
      <c r="S90" s="205" t="n"/>
      <c r="T90" s="202" t="n"/>
      <c r="U90" s="205" t="n"/>
      <c r="V90" s="205" t="n"/>
      <c r="W90" s="202" t="n"/>
      <c r="X90" s="202" t="n"/>
    </row>
    <row r="91">
      <c r="A91" s="202" t="inlineStr">
        <is>
          <t>COMPARATIVA</t>
        </is>
      </c>
      <c r="B91" s="204" t="n">
        <v>98</v>
      </c>
      <c r="C91" s="202" t="inlineStr">
        <is>
          <t>canto_negro_cantell_negre_22_x_0_8</t>
        </is>
      </c>
      <c r="D91" s="202" t="inlineStr">
        <is>
          <t xml:space="preserve">Canto </t>
        </is>
      </c>
      <c r="E91" s="202" t="inlineStr">
        <is>
          <t>Negro</t>
        </is>
      </c>
      <c r="F91" s="202" t="inlineStr">
        <is>
          <t>CANTELL NEGRE 22 X 0,8</t>
        </is>
      </c>
      <c r="G91" s="204" t="n"/>
      <c r="H91" s="204" t="n">
        <v>22</v>
      </c>
      <c r="I91" s="204" t="n">
        <v>0.8</v>
      </c>
      <c r="J91" s="205" t="n">
        <v>0.38</v>
      </c>
      <c r="K91" s="205" t="n">
        <v>0.38</v>
      </c>
      <c r="L91" s="202" t="inlineStr">
        <is>
          <t>€/ml</t>
        </is>
      </c>
      <c r="M91" s="202" t="inlineStr">
        <is>
          <t>Closa</t>
        </is>
      </c>
      <c r="N91" s="202" t="inlineStr">
        <is>
          <t>Closa</t>
        </is>
      </c>
      <c r="O91" s="205" t="n"/>
      <c r="P91" s="205" t="n"/>
      <c r="Q91" s="202" t="n"/>
      <c r="R91" s="205" t="n"/>
      <c r="S91" s="205" t="n"/>
      <c r="T91" s="202" t="n"/>
      <c r="U91" s="205" t="n"/>
      <c r="V91" s="205" t="n"/>
      <c r="W91" s="202" t="n"/>
      <c r="X91" s="202" t="n"/>
    </row>
    <row r="92">
      <c r="A92" s="202" t="inlineStr">
        <is>
          <t>COMPARATIVA</t>
        </is>
      </c>
      <c r="B92" s="204" t="n">
        <v>99</v>
      </c>
      <c r="C92" s="202" t="inlineStr">
        <is>
          <t>canto_negro_canto_abs_negro_u_190_23_0_8</t>
        </is>
      </c>
      <c r="D92" s="202" t="inlineStr">
        <is>
          <t xml:space="preserve">Canto </t>
        </is>
      </c>
      <c r="E92" s="202" t="inlineStr">
        <is>
          <t>Negro</t>
        </is>
      </c>
      <c r="F92" s="202" t="inlineStr">
        <is>
          <t xml:space="preserve">Canto ABS Negro U-190 23*0,8 </t>
        </is>
      </c>
      <c r="G92" s="204" t="n"/>
      <c r="H92" s="204" t="n">
        <v>23</v>
      </c>
      <c r="I92" s="204" t="n">
        <v>0.8</v>
      </c>
      <c r="J92" s="205" t="n">
        <v>0.68</v>
      </c>
      <c r="K92" s="205" t="n">
        <v>0.68</v>
      </c>
      <c r="L92" s="202" t="inlineStr">
        <is>
          <t>€/ml</t>
        </is>
      </c>
      <c r="M92" s="202" t="inlineStr">
        <is>
          <t>Mausa</t>
        </is>
      </c>
      <c r="N92" s="202" t="inlineStr">
        <is>
          <t>Mausa</t>
        </is>
      </c>
      <c r="O92" s="205" t="n"/>
      <c r="P92" s="205" t="n"/>
      <c r="Q92" s="202" t="n"/>
      <c r="R92" s="205" t="n"/>
      <c r="S92" s="205" t="n"/>
      <c r="T92" s="202" t="n"/>
      <c r="U92" s="205" t="n"/>
      <c r="V92" s="205" t="n"/>
      <c r="W92" s="202" t="n"/>
      <c r="X92" s="202" t="n"/>
    </row>
    <row r="93">
      <c r="A93" s="202" t="inlineStr">
        <is>
          <t>COMPARATIVA</t>
        </is>
      </c>
      <c r="B93" s="204" t="n">
        <v>100</v>
      </c>
      <c r="C93" s="202" t="inlineStr">
        <is>
          <t>canto_blanco_cantell_blanco_22_x_0_8</t>
        </is>
      </c>
      <c r="D93" s="202" t="inlineStr">
        <is>
          <t xml:space="preserve">Canto </t>
        </is>
      </c>
      <c r="E93" s="202" t="inlineStr">
        <is>
          <t>Blanco</t>
        </is>
      </c>
      <c r="F93" s="202" t="inlineStr">
        <is>
          <t>CANTELL Blanco 22 X 0,8</t>
        </is>
      </c>
      <c r="G93" s="204" t="n"/>
      <c r="H93" s="204" t="n">
        <v>22</v>
      </c>
      <c r="I93" s="204" t="n">
        <v>0.8</v>
      </c>
      <c r="J93" s="205" t="n">
        <v>0.18</v>
      </c>
      <c r="K93" s="205" t="n">
        <v>0.18</v>
      </c>
      <c r="L93" s="202" t="inlineStr">
        <is>
          <t>€/ml</t>
        </is>
      </c>
      <c r="M93" s="202" t="inlineStr">
        <is>
          <t>Closa</t>
        </is>
      </c>
      <c r="N93" s="202" t="inlineStr">
        <is>
          <t>Closa</t>
        </is>
      </c>
      <c r="O93" s="205" t="n"/>
      <c r="P93" s="205" t="n"/>
      <c r="Q93" s="202" t="n"/>
      <c r="R93" s="205" t="n"/>
      <c r="S93" s="205" t="n"/>
      <c r="T93" s="202" t="n"/>
      <c r="U93" s="205" t="n"/>
      <c r="V93" s="205" t="n"/>
      <c r="W93" s="202" t="n"/>
      <c r="X93" s="202" t="n"/>
    </row>
    <row r="94">
      <c r="A94" s="202" t="inlineStr">
        <is>
          <t>COMPARATIVA</t>
        </is>
      </c>
      <c r="B94" s="204" t="n">
        <v>101</v>
      </c>
      <c r="C94" s="202" t="inlineStr">
        <is>
          <t>canto_velvet_oak_canto_velvet_oak</t>
        </is>
      </c>
      <c r="D94" s="202" t="inlineStr">
        <is>
          <t xml:space="preserve">Canto </t>
        </is>
      </c>
      <c r="E94" s="202" t="inlineStr">
        <is>
          <t>Velvet Oak</t>
        </is>
      </c>
      <c r="F94" s="202" t="inlineStr">
        <is>
          <t>Canto  Velvet Oak</t>
        </is>
      </c>
      <c r="G94" s="204" t="n"/>
      <c r="H94" s="204" t="n">
        <v>22</v>
      </c>
      <c r="I94" s="204" t="n">
        <v>0.8</v>
      </c>
      <c r="J94" s="205" t="n">
        <v>0.35217</v>
      </c>
      <c r="K94" s="205">
        <f>35.217/100</f>
        <v/>
      </c>
      <c r="L94" s="202" t="inlineStr">
        <is>
          <t>€/ml</t>
        </is>
      </c>
      <c r="M94" s="202" t="inlineStr">
        <is>
          <t>M&amp;M Cantos</t>
        </is>
      </c>
      <c r="N94" s="202" t="inlineStr">
        <is>
          <t>M&amp;M Cantos</t>
        </is>
      </c>
      <c r="O94" s="205" t="n"/>
      <c r="P94" s="205" t="n"/>
      <c r="Q94" s="202" t="n"/>
      <c r="R94" s="205" t="n"/>
      <c r="S94" s="205" t="n"/>
      <c r="T94" s="202" t="n"/>
      <c r="U94" s="205" t="n"/>
      <c r="V94" s="205" t="n"/>
      <c r="W94" s="202" t="n"/>
      <c r="X94" s="202" t="n"/>
    </row>
    <row r="95">
      <c r="A95" s="202" t="inlineStr">
        <is>
          <t>COMPARATIVA</t>
        </is>
      </c>
      <c r="B95" s="204" t="n">
        <v>102</v>
      </c>
      <c r="C95" s="202" t="inlineStr">
        <is>
          <t>canto_niagara_oak_canto_niagara_oak</t>
        </is>
      </c>
      <c r="D95" s="202" t="inlineStr">
        <is>
          <t xml:space="preserve">Canto </t>
        </is>
      </c>
      <c r="E95" s="202" t="inlineStr">
        <is>
          <t>Niagara Oak</t>
        </is>
      </c>
      <c r="F95" s="202" t="inlineStr">
        <is>
          <t>Canto  Niagara Oak</t>
        </is>
      </c>
      <c r="G95" s="204" t="n"/>
      <c r="H95" s="204" t="n">
        <v>22</v>
      </c>
      <c r="I95" s="204" t="n">
        <v>0.8</v>
      </c>
      <c r="J95" s="205" t="n">
        <v>0.35217</v>
      </c>
      <c r="K95" s="205">
        <f>35.217/100</f>
        <v/>
      </c>
      <c r="L95" s="202" t="inlineStr">
        <is>
          <t>€/ml</t>
        </is>
      </c>
      <c r="M95" s="202" t="inlineStr">
        <is>
          <t>M&amp;M Cantos</t>
        </is>
      </c>
      <c r="N95" s="202" t="inlineStr">
        <is>
          <t>M&amp;M Cantos</t>
        </is>
      </c>
      <c r="O95" s="205" t="n"/>
      <c r="P95" s="205" t="n"/>
      <c r="Q95" s="202" t="n"/>
      <c r="R95" s="205" t="n"/>
      <c r="S95" s="205" t="n"/>
      <c r="T95" s="202" t="n"/>
      <c r="U95" s="205" t="n"/>
      <c r="V95" s="205" t="n"/>
      <c r="W95" s="202" t="n"/>
      <c r="X95" s="202" t="n"/>
    </row>
    <row r="96">
      <c r="A96" s="202" t="inlineStr">
        <is>
          <t>COMPARATIVA</t>
        </is>
      </c>
      <c r="B96" s="204" t="n">
        <v>103</v>
      </c>
      <c r="C96" s="202" t="inlineStr">
        <is>
          <t>canto_papaya_canto_papaya</t>
        </is>
      </c>
      <c r="D96" s="202" t="inlineStr">
        <is>
          <t xml:space="preserve">Canto </t>
        </is>
      </c>
      <c r="E96" s="202" t="inlineStr">
        <is>
          <t xml:space="preserve">Papaya </t>
        </is>
      </c>
      <c r="F96" s="202" t="inlineStr">
        <is>
          <t xml:space="preserve">Canto  Papaya </t>
        </is>
      </c>
      <c r="G96" s="204" t="n"/>
      <c r="H96" s="204" t="n">
        <v>22</v>
      </c>
      <c r="I96" s="204" t="n">
        <v>0.8</v>
      </c>
      <c r="J96" s="205" t="n">
        <v>0.35217</v>
      </c>
      <c r="K96" s="205">
        <f>35.217/100</f>
        <v/>
      </c>
      <c r="L96" s="202" t="inlineStr">
        <is>
          <t>€/ml</t>
        </is>
      </c>
      <c r="M96" s="202" t="inlineStr">
        <is>
          <t>M&amp;M Cantos</t>
        </is>
      </c>
      <c r="N96" s="202" t="inlineStr">
        <is>
          <t>M&amp;M Cantos</t>
        </is>
      </c>
      <c r="O96" s="205" t="n"/>
      <c r="P96" s="205" t="n"/>
      <c r="Q96" s="202" t="n"/>
      <c r="R96" s="205" t="n"/>
      <c r="S96" s="205" t="n"/>
      <c r="T96" s="202" t="n"/>
      <c r="U96" s="205" t="n"/>
      <c r="V96" s="205" t="n"/>
      <c r="W96" s="202" t="n"/>
      <c r="X96" s="202" t="n"/>
    </row>
    <row r="97">
      <c r="A97" s="202" t="inlineStr">
        <is>
          <t>COMPARATIVA</t>
        </is>
      </c>
      <c r="B97" s="204" t="n">
        <v>105</v>
      </c>
      <c r="C97" s="202" t="inlineStr">
        <is>
          <t>perfil_aluminio_negro_perfil_40_20_negro_brillante</t>
        </is>
      </c>
      <c r="D97" s="202" t="inlineStr">
        <is>
          <t>Perfil</t>
        </is>
      </c>
      <c r="E97" s="202" t="inlineStr">
        <is>
          <t>Aluminio Negro</t>
        </is>
      </c>
      <c r="F97" s="202" t="inlineStr">
        <is>
          <t>Perfil 40*20 Negro Brillante</t>
        </is>
      </c>
      <c r="G97" s="204" t="n">
        <v>6000</v>
      </c>
      <c r="H97" s="204" t="n">
        <v>40</v>
      </c>
      <c r="I97" s="204" t="n">
        <v>20</v>
      </c>
      <c r="J97" s="205" t="n">
        <v>2.541</v>
      </c>
      <c r="K97" s="205" t="n">
        <v>2.541</v>
      </c>
      <c r="L97" s="202" t="inlineStr">
        <is>
          <t>€/ml</t>
        </is>
      </c>
      <c r="M97" s="202" t="inlineStr">
        <is>
          <t>Provedal</t>
        </is>
      </c>
      <c r="N97" s="202" t="inlineStr">
        <is>
          <t>Provedal</t>
        </is>
      </c>
      <c r="O97" s="205" t="n"/>
      <c r="P97" s="205" t="n"/>
      <c r="Q97" s="202" t="n"/>
      <c r="R97" s="205" t="n"/>
      <c r="S97" s="205" t="n"/>
      <c r="T97" s="202" t="n"/>
      <c r="U97" s="205" t="n"/>
      <c r="V97" s="205" t="n"/>
      <c r="W97" s="202" t="n"/>
      <c r="X97" s="202" t="n"/>
    </row>
    <row r="98">
      <c r="A98" s="202" t="inlineStr">
        <is>
          <t>COMPARATIVA</t>
        </is>
      </c>
      <c r="B98" s="204" t="n">
        <v>106</v>
      </c>
      <c r="C98" s="202" t="inlineStr">
        <is>
          <t>perfil_aluminio_blanco_perfil_40_20_blanco_brillante</t>
        </is>
      </c>
      <c r="D98" s="202" t="inlineStr">
        <is>
          <t>Perfil</t>
        </is>
      </c>
      <c r="E98" s="202" t="inlineStr">
        <is>
          <t>Aluminio Blanco</t>
        </is>
      </c>
      <c r="F98" s="202" t="inlineStr">
        <is>
          <t>Perfil 40*20 Blanco Brillante</t>
        </is>
      </c>
      <c r="G98" s="204" t="n">
        <v>6000</v>
      </c>
      <c r="H98" s="204" t="n">
        <v>40</v>
      </c>
      <c r="I98" s="204" t="n">
        <v>20</v>
      </c>
      <c r="J98" s="205" t="n">
        <v>2.36</v>
      </c>
      <c r="K98" s="205" t="n">
        <v>2.36</v>
      </c>
      <c r="L98" s="202" t="inlineStr">
        <is>
          <t>€/ml</t>
        </is>
      </c>
      <c r="M98" s="202" t="inlineStr">
        <is>
          <t>Provedal</t>
        </is>
      </c>
      <c r="N98" s="202" t="inlineStr">
        <is>
          <t>Provedal</t>
        </is>
      </c>
      <c r="O98" s="205" t="n"/>
      <c r="P98" s="205" t="n"/>
      <c r="Q98" s="202" t="n"/>
      <c r="R98" s="205" t="n"/>
      <c r="S98" s="205" t="n"/>
      <c r="T98" s="202" t="n"/>
      <c r="U98" s="205" t="n"/>
      <c r="V98" s="205" t="n"/>
      <c r="W98" s="202" t="n"/>
      <c r="X98" s="202" t="n"/>
    </row>
    <row r="99">
      <c r="A99" s="202" t="inlineStr">
        <is>
          <t>COMPARATIVA</t>
        </is>
      </c>
      <c r="B99" s="204" t="n">
        <v>107</v>
      </c>
      <c r="C99" s="202" t="inlineStr">
        <is>
          <t>pletina_aluminio_negro_pletina_20_3_negro_brillante</t>
        </is>
      </c>
      <c r="D99" s="202" t="inlineStr">
        <is>
          <t>Pletina</t>
        </is>
      </c>
      <c r="E99" s="202" t="inlineStr">
        <is>
          <t>Aluminio Negro</t>
        </is>
      </c>
      <c r="F99" s="202" t="inlineStr">
        <is>
          <t>Pletina 20*3 Negro Brillante</t>
        </is>
      </c>
      <c r="G99" s="204" t="n">
        <v>6000</v>
      </c>
      <c r="H99" s="204" t="n">
        <v>20</v>
      </c>
      <c r="I99" s="204" t="n">
        <v>3</v>
      </c>
      <c r="J99" s="205" t="n">
        <v>2.39</v>
      </c>
      <c r="K99" s="205" t="n">
        <v>2.39</v>
      </c>
      <c r="L99" s="202" t="inlineStr">
        <is>
          <t>€/ml</t>
        </is>
      </c>
      <c r="M99" s="202" t="inlineStr">
        <is>
          <t>Provedal</t>
        </is>
      </c>
      <c r="N99" s="202" t="inlineStr">
        <is>
          <t>Provedal</t>
        </is>
      </c>
      <c r="O99" s="205" t="n"/>
      <c r="P99" s="205" t="n"/>
      <c r="Q99" s="202" t="n"/>
      <c r="R99" s="205" t="n"/>
      <c r="S99" s="205" t="n"/>
      <c r="T99" s="202" t="n"/>
      <c r="U99" s="205" t="n"/>
      <c r="V99" s="205" t="n"/>
      <c r="W99" s="202" t="n"/>
      <c r="X99" s="202" t="n"/>
    </row>
    <row r="100">
      <c r="A100" s="202" t="inlineStr">
        <is>
          <t>COMPARATIVA</t>
        </is>
      </c>
      <c r="B100" s="204" t="n">
        <v>108</v>
      </c>
      <c r="C100" s="202" t="inlineStr">
        <is>
          <t>perfil_textil_para_textiles_silicona</t>
        </is>
      </c>
      <c r="D100" s="202" t="inlineStr">
        <is>
          <t>Perfil</t>
        </is>
      </c>
      <c r="E100" s="202" t="inlineStr">
        <is>
          <t>Textil</t>
        </is>
      </c>
      <c r="F100" s="202" t="inlineStr">
        <is>
          <t>Para Textiles Silicona</t>
        </is>
      </c>
      <c r="G100" s="204" t="n"/>
      <c r="H100" s="204" t="n"/>
      <c r="I100" s="204" t="n"/>
      <c r="J100" s="205" t="n">
        <v>5</v>
      </c>
      <c r="K100" s="205" t="n">
        <v>5</v>
      </c>
      <c r="L100" s="202" t="inlineStr">
        <is>
          <t>€/ml</t>
        </is>
      </c>
      <c r="M100" s="202" t="inlineStr">
        <is>
          <t>?</t>
        </is>
      </c>
      <c r="N100" s="202" t="inlineStr">
        <is>
          <t>?</t>
        </is>
      </c>
      <c r="O100" s="205" t="n"/>
      <c r="P100" s="205" t="n"/>
      <c r="Q100" s="202" t="n"/>
      <c r="R100" s="205" t="n"/>
      <c r="S100" s="205" t="n"/>
      <c r="T100" s="202" t="n"/>
      <c r="U100" s="205" t="n"/>
      <c r="V100" s="205" t="n"/>
      <c r="W100" s="202" t="n"/>
      <c r="X100" s="202" t="n"/>
    </row>
    <row r="101">
      <c r="A101" s="202" t="inlineStr">
        <is>
          <t>COMPARATIVA</t>
        </is>
      </c>
      <c r="B101" s="204" t="n">
        <v>109</v>
      </c>
      <c r="C101" s="202" t="inlineStr">
        <is>
          <t>perfil_aluminio_perfil_en_u_aluminio_cristal</t>
        </is>
      </c>
      <c r="D101" s="202" t="inlineStr">
        <is>
          <t>Perfil</t>
        </is>
      </c>
      <c r="E101" s="202" t="inlineStr">
        <is>
          <t>Aluminio</t>
        </is>
      </c>
      <c r="F101" s="202" t="inlineStr">
        <is>
          <t>Perfil en U aluminio  (?Cristal?)</t>
        </is>
      </c>
      <c r="G101" s="204" t="n"/>
      <c r="H101" s="204" t="n"/>
      <c r="I101" s="204" t="n"/>
      <c r="J101" s="205" t="n">
        <v>5.77</v>
      </c>
      <c r="K101" s="205" t="n">
        <v>5.77</v>
      </c>
      <c r="L101" s="202" t="inlineStr">
        <is>
          <t>€/ml</t>
        </is>
      </c>
      <c r="M101" s="202" t="inlineStr">
        <is>
          <t>?</t>
        </is>
      </c>
      <c r="N101" s="202" t="inlineStr">
        <is>
          <t>?</t>
        </is>
      </c>
      <c r="O101" s="205" t="n"/>
      <c r="P101" s="205" t="n"/>
      <c r="Q101" s="202" t="n"/>
      <c r="R101" s="205" t="n"/>
      <c r="S101" s="205" t="n"/>
      <c r="T101" s="202" t="n"/>
      <c r="U101" s="205" t="n"/>
      <c r="V101" s="205" t="n"/>
      <c r="W101" s="202" t="n"/>
      <c r="X101" s="202" t="n"/>
    </row>
    <row r="102">
      <c r="A102" s="202" t="inlineStr">
        <is>
          <t>COMPARATIVA</t>
        </is>
      </c>
      <c r="B102" s="204" t="n">
        <v>111</v>
      </c>
      <c r="C102" s="202" t="inlineStr">
        <is>
          <t>muro_bmatrix_alquiler_muro_bmatrix</t>
        </is>
      </c>
      <c r="D102" s="202" t="inlineStr">
        <is>
          <t>Muro</t>
        </is>
      </c>
      <c r="E102" s="202" t="inlineStr">
        <is>
          <t>Bmatrix</t>
        </is>
      </c>
      <c r="F102" s="202" t="inlineStr">
        <is>
          <t>Alquiler Muro Bmatrix</t>
        </is>
      </c>
      <c r="G102" s="204" t="n"/>
      <c r="H102" s="204" t="n"/>
      <c r="I102" s="204" t="n"/>
      <c r="J102" s="205" t="n">
        <v>50</v>
      </c>
      <c r="K102" s="205" t="n">
        <v>50</v>
      </c>
      <c r="L102" s="202" t="inlineStr">
        <is>
          <t>€/m2</t>
        </is>
      </c>
      <c r="M102" s="202" t="n"/>
      <c r="N102" s="202" t="n"/>
      <c r="O102" s="205" t="n"/>
      <c r="P102" s="205" t="n"/>
      <c r="Q102" s="202" t="n"/>
      <c r="R102" s="205" t="n"/>
      <c r="S102" s="205" t="n"/>
      <c r="T102" s="202" t="n"/>
      <c r="U102" s="205" t="n"/>
      <c r="V102" s="205" t="n"/>
      <c r="W102" s="202" t="n"/>
      <c r="X102" s="202" t="n"/>
    </row>
    <row r="103">
      <c r="A103" s="202" t="inlineStr">
        <is>
          <t>COMPARATIVA</t>
        </is>
      </c>
      <c r="B103" s="204" t="n">
        <v>113</v>
      </c>
      <c r="C103" s="202" t="inlineStr">
        <is>
          <t>logistica_1_trailer_eswood_feria_bcn_13_6_largo_2_4_ancho_2_6_alto</t>
        </is>
      </c>
      <c r="D103" s="202" t="inlineStr">
        <is>
          <t>Logistica</t>
        </is>
      </c>
      <c r="E103" s="202" t="inlineStr">
        <is>
          <t>1 Trailer</t>
        </is>
      </c>
      <c r="F103" s="202" t="inlineStr">
        <is>
          <t>ESWood - Feria BCN (13,6 Largo *2,4 Ancho *2,6 Alto)</t>
        </is>
      </c>
      <c r="G103" s="204" t="n"/>
      <c r="H103" s="204" t="n"/>
      <c r="I103" s="204" t="n"/>
      <c r="J103" s="205" t="n">
        <v>390</v>
      </c>
      <c r="K103" s="205" t="n">
        <v>390</v>
      </c>
      <c r="L103" s="202" t="inlineStr">
        <is>
          <t>Viaje</t>
        </is>
      </c>
      <c r="M103" s="202" t="inlineStr">
        <is>
          <t>Sertrans</t>
        </is>
      </c>
      <c r="N103" s="202" t="inlineStr">
        <is>
          <t>Sertrans</t>
        </is>
      </c>
      <c r="O103" s="205" t="n">
        <v>200</v>
      </c>
      <c r="P103" s="205" t="n">
        <v>200</v>
      </c>
      <c r="Q103" s="202" t="inlineStr">
        <is>
          <t>Festivo</t>
        </is>
      </c>
      <c r="R103" s="205" t="n">
        <v>150</v>
      </c>
      <c r="S103" s="205" t="n">
        <v>150</v>
      </c>
      <c r="T103" s="202" t="inlineStr">
        <is>
          <t>Dia siguente</t>
        </is>
      </c>
      <c r="U103" s="205" t="n"/>
      <c r="V103" s="205" t="n"/>
      <c r="W103" s="202" t="n"/>
      <c r="X103" s="202" t="n"/>
    </row>
    <row r="104">
      <c r="A104" s="202" t="inlineStr">
        <is>
          <t>COMPARATIVA</t>
        </is>
      </c>
      <c r="B104" s="204" t="n">
        <v>114</v>
      </c>
      <c r="C104" s="202" t="inlineStr">
        <is>
          <t>logistica_1_trailer_eswood_feria_bcn_13_6_largo_2_4_ancho_2_6_alto</t>
        </is>
      </c>
      <c r="D104" s="202" t="inlineStr">
        <is>
          <t>Logistica</t>
        </is>
      </c>
      <c r="E104" s="202" t="inlineStr">
        <is>
          <t>1 Trailer</t>
        </is>
      </c>
      <c r="F104" s="202" t="inlineStr">
        <is>
          <t>ESWood - Feria BCN (13,6 Largo *2,4 Ancho *2,6 Alto)</t>
        </is>
      </c>
      <c r="G104" s="204" t="n"/>
      <c r="H104" s="204" t="n"/>
      <c r="I104" s="204" t="n"/>
      <c r="J104" s="205" t="inlineStr">
        <is>
          <t>260 / 290</t>
        </is>
      </c>
      <c r="K104" s="205" t="inlineStr">
        <is>
          <t>260 / 290</t>
        </is>
      </c>
      <c r="L104" s="202" t="inlineStr">
        <is>
          <t>Viaje</t>
        </is>
      </c>
      <c r="M104" s="202" t="inlineStr">
        <is>
          <t>Bellido</t>
        </is>
      </c>
      <c r="N104" s="202" t="inlineStr">
        <is>
          <t>Bellido</t>
        </is>
      </c>
      <c r="O104" s="205" t="inlineStr">
        <is>
          <t>320 / 420</t>
        </is>
      </c>
      <c r="P104" s="205" t="inlineStr">
        <is>
          <t>320 / 420</t>
        </is>
      </c>
      <c r="Q104" s="202" t="inlineStr">
        <is>
          <t>Festivo</t>
        </is>
      </c>
      <c r="R104" s="205" t="n"/>
      <c r="S104" s="205" t="n"/>
      <c r="T104" s="202" t="n"/>
      <c r="U104" s="205" t="n"/>
      <c r="V104" s="205" t="n"/>
      <c r="W104" s="202" t="n"/>
      <c r="X104" s="202" t="n"/>
    </row>
    <row r="105">
      <c r="A105" s="202" t="inlineStr">
        <is>
          <t>COMPARATIVA</t>
        </is>
      </c>
      <c r="B105" s="204" t="n">
        <v>115</v>
      </c>
      <c r="C105" s="202" t="inlineStr">
        <is>
          <t>logistica_1_2_trailer_eswood_feria_bcn</t>
        </is>
      </c>
      <c r="D105" s="202" t="inlineStr">
        <is>
          <t>Logistica</t>
        </is>
      </c>
      <c r="E105" s="202" t="inlineStr">
        <is>
          <t>1/2 Trailer</t>
        </is>
      </c>
      <c r="F105" s="202" t="inlineStr">
        <is>
          <t>ESWood - Feria BCN</t>
        </is>
      </c>
      <c r="G105" s="204" t="n"/>
      <c r="H105" s="204" t="n"/>
      <c r="I105" s="204" t="n"/>
      <c r="J105" s="205" t="n"/>
      <c r="K105" s="205" t="n"/>
      <c r="L105" s="202" t="inlineStr">
        <is>
          <t>Viaje</t>
        </is>
      </c>
      <c r="M105" s="202" t="inlineStr">
        <is>
          <t>Sertrans</t>
        </is>
      </c>
      <c r="N105" s="202" t="inlineStr">
        <is>
          <t>Sertrans</t>
        </is>
      </c>
      <c r="O105" s="205" t="n"/>
      <c r="P105" s="205" t="n"/>
      <c r="Q105" s="202" t="inlineStr">
        <is>
          <t>Festivo</t>
        </is>
      </c>
      <c r="R105" s="205" t="n"/>
      <c r="S105" s="205" t="n"/>
      <c r="T105" s="202" t="inlineStr">
        <is>
          <t>Dia siguente</t>
        </is>
      </c>
      <c r="U105" s="205" t="n"/>
      <c r="V105" s="205" t="n"/>
      <c r="W105" s="202" t="n"/>
      <c r="X105" s="202" t="n"/>
    </row>
    <row r="106">
      <c r="A106" s="202" t="inlineStr">
        <is>
          <t>COMPARATIVA</t>
        </is>
      </c>
      <c r="B106" s="204" t="n">
        <v>116</v>
      </c>
      <c r="C106" s="202" t="inlineStr">
        <is>
          <t>logistica_1_trailer_eswood_madrid</t>
        </is>
      </c>
      <c r="D106" s="202" t="inlineStr">
        <is>
          <t>Logistica</t>
        </is>
      </c>
      <c r="E106" s="202" t="inlineStr">
        <is>
          <t>1 Trailer</t>
        </is>
      </c>
      <c r="F106" s="202" t="inlineStr">
        <is>
          <t xml:space="preserve">ESWood - Madrid  </t>
        </is>
      </c>
      <c r="G106" s="204" t="n"/>
      <c r="H106" s="204" t="n"/>
      <c r="I106" s="204" t="n"/>
      <c r="J106" s="205" t="n">
        <v>1050</v>
      </c>
      <c r="K106" s="205" t="n">
        <v>1050</v>
      </c>
      <c r="L106" s="202" t="inlineStr">
        <is>
          <t>Viaje</t>
        </is>
      </c>
      <c r="M106" s="202" t="inlineStr">
        <is>
          <t>Sertrans</t>
        </is>
      </c>
      <c r="N106" s="202" t="inlineStr">
        <is>
          <t>Sertrans</t>
        </is>
      </c>
      <c r="O106" s="205" t="n"/>
      <c r="P106" s="205" t="n"/>
      <c r="Q106" s="202" t="n"/>
      <c r="R106" s="205" t="n"/>
      <c r="S106" s="205" t="n"/>
      <c r="T106" s="202" t="n"/>
      <c r="U106" s="205" t="n"/>
      <c r="V106" s="205" t="n"/>
      <c r="W106" s="202" t="n"/>
      <c r="X106" s="202" t="n"/>
    </row>
    <row r="107">
      <c r="A107" s="202" t="inlineStr">
        <is>
          <t>COMPARATIVA</t>
        </is>
      </c>
      <c r="B107" s="204" t="n">
        <v>117</v>
      </c>
      <c r="C107" s="202" t="inlineStr">
        <is>
          <t>logistica_1_2_trailer_eswood_vigo</t>
        </is>
      </c>
      <c r="D107" s="202" t="inlineStr">
        <is>
          <t>Logistica</t>
        </is>
      </c>
      <c r="E107" s="202" t="inlineStr">
        <is>
          <t>1/2 Trailer</t>
        </is>
      </c>
      <c r="F107" s="202" t="inlineStr">
        <is>
          <t>ESWood - Vigo</t>
        </is>
      </c>
      <c r="G107" s="204" t="n"/>
      <c r="H107" s="204" t="n"/>
      <c r="I107" s="204" t="n"/>
      <c r="J107" s="205" t="n">
        <v>1150</v>
      </c>
      <c r="K107" s="205" t="n">
        <v>1150</v>
      </c>
      <c r="L107" s="202" t="inlineStr">
        <is>
          <t>Viaje</t>
        </is>
      </c>
      <c r="M107" s="202" t="inlineStr">
        <is>
          <t>Sertrans</t>
        </is>
      </c>
      <c r="N107" s="202" t="inlineStr">
        <is>
          <t>Sertrans</t>
        </is>
      </c>
      <c r="O107" s="205" t="n">
        <v>250</v>
      </c>
      <c r="P107" s="205" t="n">
        <v>250</v>
      </c>
      <c r="Q107" s="202" t="inlineStr">
        <is>
          <t>Sabado</t>
        </is>
      </c>
      <c r="R107" s="205" t="n">
        <v>375</v>
      </c>
      <c r="S107" s="205" t="n">
        <v>375</v>
      </c>
      <c r="T107" s="202" t="inlineStr">
        <is>
          <t>Domingo</t>
        </is>
      </c>
      <c r="U107" s="205" t="n"/>
      <c r="V107" s="205" t="n"/>
      <c r="W107" s="202" t="n"/>
      <c r="X107" s="202" t="n"/>
    </row>
    <row r="108">
      <c r="A108" s="202" t="inlineStr">
        <is>
          <t>COMPARATIVA</t>
        </is>
      </c>
      <c r="B108" s="204" t="n">
        <v>118</v>
      </c>
      <c r="C108" s="202" t="inlineStr">
        <is>
          <t>logistica_1_trailer_eswood_vigo</t>
        </is>
      </c>
      <c r="D108" s="202" t="inlineStr">
        <is>
          <t>Logistica</t>
        </is>
      </c>
      <c r="E108" s="202" t="inlineStr">
        <is>
          <t>1 Trailer</t>
        </is>
      </c>
      <c r="F108" s="202" t="inlineStr">
        <is>
          <t>ESWood - Vigo</t>
        </is>
      </c>
      <c r="G108" s="204" t="n"/>
      <c r="H108" s="204" t="n"/>
      <c r="I108" s="204" t="n"/>
      <c r="J108" s="205" t="n">
        <v>1700</v>
      </c>
      <c r="K108" s="205" t="n">
        <v>1700</v>
      </c>
      <c r="L108" s="202" t="inlineStr">
        <is>
          <t>Viaje</t>
        </is>
      </c>
      <c r="M108" s="202" t="inlineStr">
        <is>
          <t>Sertrans</t>
        </is>
      </c>
      <c r="N108" s="202" t="inlineStr">
        <is>
          <t>Sertrans</t>
        </is>
      </c>
      <c r="O108" s="205" t="n">
        <v>250</v>
      </c>
      <c r="P108" s="205" t="n">
        <v>250</v>
      </c>
      <c r="Q108" s="202" t="inlineStr">
        <is>
          <t>Sabado</t>
        </is>
      </c>
      <c r="R108" s="205" t="n">
        <v>375</v>
      </c>
      <c r="S108" s="205" t="n">
        <v>375</v>
      </c>
      <c r="T108" s="202" t="inlineStr">
        <is>
          <t>Domingo</t>
        </is>
      </c>
      <c r="U108" s="205" t="n"/>
      <c r="V108" s="205" t="n"/>
      <c r="W108" s="202" t="n"/>
      <c r="X108" s="202" t="n"/>
    </row>
    <row r="109">
      <c r="A109" s="202" t="inlineStr">
        <is>
          <t>COMPARATIVA</t>
        </is>
      </c>
      <c r="B109" s="204" t="n">
        <v>120</v>
      </c>
      <c r="C109" s="202" t="inlineStr">
        <is>
          <t>logistica_toro_1h_con_conductor_feria_granvia_resa</t>
        </is>
      </c>
      <c r="D109" s="202" t="inlineStr">
        <is>
          <t>Logistica</t>
        </is>
      </c>
      <c r="E109" s="202" t="inlineStr">
        <is>
          <t>Toro</t>
        </is>
      </c>
      <c r="F109" s="202" t="inlineStr">
        <is>
          <t>1h con conductor Feria Granvia Resa</t>
        </is>
      </c>
      <c r="G109" s="204" t="n"/>
      <c r="H109" s="204" t="n"/>
      <c r="I109" s="204" t="n"/>
      <c r="J109" s="205" t="n">
        <v>86</v>
      </c>
      <c r="K109" s="205" t="n">
        <v>86</v>
      </c>
      <c r="L109" s="202" t="inlineStr">
        <is>
          <t>€/1h</t>
        </is>
      </c>
      <c r="M109" s="202" t="inlineStr">
        <is>
          <t>Resa Expo</t>
        </is>
      </c>
      <c r="N109" s="202" t="inlineStr">
        <is>
          <t>Resa Expo</t>
        </is>
      </c>
      <c r="O109" s="205" t="n"/>
      <c r="P109" s="205" t="n"/>
      <c r="Q109" s="202" t="n"/>
      <c r="R109" s="205" t="n">
        <v>0.1</v>
      </c>
      <c r="S109" s="205" t="n">
        <v>0.1</v>
      </c>
      <c r="T109" s="202" t="inlineStr">
        <is>
          <t>10 dias antelacion</t>
        </is>
      </c>
      <c r="U109" s="205" t="n"/>
      <c r="V109" s="205" t="n"/>
      <c r="W109" s="202" t="n"/>
      <c r="X109" s="202" t="n"/>
    </row>
    <row r="110">
      <c r="A110" s="202" t="inlineStr">
        <is>
          <t>COMPARATIVA</t>
        </is>
      </c>
      <c r="B110" s="204" t="n">
        <v>121</v>
      </c>
      <c r="C110" s="202" t="inlineStr">
        <is>
          <t>logistica_toro_1_dia_sin_conductor_feria_granvia_resa</t>
        </is>
      </c>
      <c r="D110" s="202" t="inlineStr">
        <is>
          <t>Logistica</t>
        </is>
      </c>
      <c r="E110" s="202" t="inlineStr">
        <is>
          <t>Toro</t>
        </is>
      </c>
      <c r="F110" s="202" t="inlineStr">
        <is>
          <t>1 dia Sin conductor Feria Granvia Resa</t>
        </is>
      </c>
      <c r="G110" s="204" t="n"/>
      <c r="H110" s="204" t="n"/>
      <c r="I110" s="204" t="n"/>
      <c r="J110" s="205" t="n">
        <v>313</v>
      </c>
      <c r="K110" s="205">
        <f>163+150</f>
        <v/>
      </c>
      <c r="L110" s="202" t="inlineStr">
        <is>
          <t>€/1dia</t>
        </is>
      </c>
      <c r="M110" s="202" t="inlineStr">
        <is>
          <t>Resa Expo</t>
        </is>
      </c>
      <c r="N110" s="202" t="inlineStr">
        <is>
          <t>Resa Expo</t>
        </is>
      </c>
      <c r="O110" s="205" t="n"/>
      <c r="P110" s="205" t="n"/>
      <c r="Q110" s="202" t="n"/>
      <c r="R110" s="205" t="n">
        <v>0.1</v>
      </c>
      <c r="S110" s="205" t="n">
        <v>0.1</v>
      </c>
      <c r="T110" s="202" t="inlineStr">
        <is>
          <t>10 dias antelacion</t>
        </is>
      </c>
      <c r="U110" s="205" t="n"/>
      <c r="V110" s="205" t="n"/>
      <c r="W110" s="202" t="n"/>
      <c r="X110" s="202" t="n"/>
    </row>
    <row r="111">
      <c r="A111" s="202" t="inlineStr">
        <is>
          <t>COMPARATIVA</t>
        </is>
      </c>
      <c r="B111" s="204" t="n">
        <v>123</v>
      </c>
      <c r="C111" s="202" t="inlineStr">
        <is>
          <t>pintor_blanca</t>
        </is>
      </c>
      <c r="D111" s="202" t="inlineStr">
        <is>
          <t>Pintor</t>
        </is>
      </c>
      <c r="E111" s="202" t="inlineStr">
        <is>
          <t>Blanca</t>
        </is>
      </c>
      <c r="F111" s="202" t="n"/>
      <c r="G111" s="204" t="n"/>
      <c r="H111" s="204" t="n"/>
      <c r="I111" s="204" t="n"/>
      <c r="J111" s="205" t="n">
        <v>7</v>
      </c>
      <c r="K111" s="205" t="n">
        <v>7</v>
      </c>
      <c r="L111" s="202" t="inlineStr">
        <is>
          <t>€/m2</t>
        </is>
      </c>
      <c r="M111" s="202" t="inlineStr">
        <is>
          <t>Guayaba</t>
        </is>
      </c>
      <c r="N111" s="202" t="inlineStr">
        <is>
          <t>Guayaba</t>
        </is>
      </c>
      <c r="O111" s="205" t="n"/>
      <c r="P111" s="205" t="n"/>
      <c r="Q111" s="202" t="n"/>
      <c r="R111" s="205" t="n"/>
      <c r="S111" s="205" t="n"/>
      <c r="T111" s="202" t="n"/>
      <c r="U111" s="205" t="n"/>
      <c r="V111" s="205" t="n"/>
      <c r="W111" s="202" t="n"/>
      <c r="X111" s="202" t="n"/>
    </row>
    <row r="112">
      <c r="A112" s="202" t="inlineStr">
        <is>
          <t>COMPARATIVA</t>
        </is>
      </c>
      <c r="B112" s="204" t="n">
        <v>124</v>
      </c>
      <c r="C112" s="202" t="inlineStr">
        <is>
          <t>pintor_color</t>
        </is>
      </c>
      <c r="D112" s="202" t="inlineStr">
        <is>
          <t>Pintor</t>
        </is>
      </c>
      <c r="E112" s="202" t="inlineStr">
        <is>
          <t>Color</t>
        </is>
      </c>
      <c r="F112" s="202" t="n"/>
      <c r="G112" s="204" t="n"/>
      <c r="H112" s="204" t="n"/>
      <c r="I112" s="204" t="n"/>
      <c r="J112" s="205" t="n">
        <v>10</v>
      </c>
      <c r="K112" s="205" t="n">
        <v>10</v>
      </c>
      <c r="L112" s="202" t="inlineStr">
        <is>
          <t>€/m2</t>
        </is>
      </c>
      <c r="M112" s="202" t="inlineStr">
        <is>
          <t>Guayaba</t>
        </is>
      </c>
      <c r="N112" s="202" t="inlineStr">
        <is>
          <t>Guayaba</t>
        </is>
      </c>
      <c r="O112" s="205" t="n"/>
      <c r="P112" s="205" t="n"/>
      <c r="Q112" s="202" t="n"/>
      <c r="R112" s="205" t="n"/>
      <c r="S112" s="205" t="n"/>
      <c r="T112" s="202" t="n"/>
      <c r="U112" s="205" t="n"/>
      <c r="V112" s="205" t="n"/>
      <c r="W112" s="202" t="n"/>
      <c r="X112" s="202" t="n"/>
    </row>
    <row r="113">
      <c r="A113" s="202" t="inlineStr">
        <is>
          <t>COMPARATIVA</t>
        </is>
      </c>
      <c r="B113" s="204" t="n">
        <v>125</v>
      </c>
      <c r="C113" s="202" t="inlineStr">
        <is>
          <t>pintor_1_capa_almacen_y_vinilo</t>
        </is>
      </c>
      <c r="D113" s="202" t="inlineStr">
        <is>
          <t>Pintor</t>
        </is>
      </c>
      <c r="E113" s="202" t="inlineStr">
        <is>
          <t>1 Capa</t>
        </is>
      </c>
      <c r="F113" s="202" t="inlineStr">
        <is>
          <t>Almacen y Vinilo</t>
        </is>
      </c>
      <c r="G113" s="204" t="n"/>
      <c r="H113" s="204" t="n"/>
      <c r="I113" s="204" t="n"/>
      <c r="J113" s="205" t="n">
        <v>4.5</v>
      </c>
      <c r="K113" s="205" t="n">
        <v>4.5</v>
      </c>
      <c r="L113" s="202" t="inlineStr">
        <is>
          <t>€/m2</t>
        </is>
      </c>
      <c r="M113" s="202" t="inlineStr">
        <is>
          <t>Guayaba</t>
        </is>
      </c>
      <c r="N113" s="202" t="inlineStr">
        <is>
          <t>Guayaba</t>
        </is>
      </c>
      <c r="O113" s="205" t="n"/>
      <c r="P113" s="205" t="n"/>
      <c r="Q113" s="202" t="n"/>
      <c r="R113" s="205" t="n"/>
      <c r="S113" s="205" t="n"/>
      <c r="T113" s="202" t="n"/>
      <c r="U113" s="205" t="n"/>
      <c r="V113" s="205" t="n"/>
      <c r="W113" s="202" t="n"/>
      <c r="X113" s="202" t="n"/>
    </row>
    <row r="114">
      <c r="A114" s="202" t="inlineStr">
        <is>
          <t>COMPARATIVA</t>
        </is>
      </c>
      <c r="B114" s="204" t="n">
        <v>126</v>
      </c>
      <c r="C114" s="202" t="inlineStr">
        <is>
          <t>pintor_barniz</t>
        </is>
      </c>
      <c r="D114" s="202" t="inlineStr">
        <is>
          <t>Pintor</t>
        </is>
      </c>
      <c r="E114" s="202" t="inlineStr">
        <is>
          <t>Barniz</t>
        </is>
      </c>
      <c r="F114" s="202" t="n"/>
      <c r="G114" s="204" t="n"/>
      <c r="H114" s="204" t="n"/>
      <c r="I114" s="204" t="n"/>
      <c r="J114" s="205" t="n">
        <v>11.5</v>
      </c>
      <c r="K114" s="205" t="n">
        <v>11.5</v>
      </c>
      <c r="L114" s="202" t="inlineStr">
        <is>
          <t>€/m2</t>
        </is>
      </c>
      <c r="M114" s="202" t="inlineStr">
        <is>
          <t>Guayaba</t>
        </is>
      </c>
      <c r="N114" s="202" t="inlineStr">
        <is>
          <t>Guayaba</t>
        </is>
      </c>
      <c r="O114" s="205" t="n"/>
      <c r="P114" s="205" t="n"/>
      <c r="Q114" s="202" t="n"/>
      <c r="R114" s="205" t="n"/>
      <c r="S114" s="205" t="n"/>
      <c r="T114" s="202" t="n"/>
      <c r="U114" s="205" t="n"/>
      <c r="V114" s="205" t="n"/>
      <c r="W114" s="202" t="n"/>
      <c r="X114" s="202" t="n"/>
    </row>
    <row r="115">
      <c r="A115" s="202" t="inlineStr">
        <is>
          <t>COMPARATIVA</t>
        </is>
      </c>
      <c r="B115" s="204" t="n">
        <v>127</v>
      </c>
      <c r="C115" s="202" t="inlineStr">
        <is>
          <t>lacado_blanco_lacado_blanco_mueble_montado</t>
        </is>
      </c>
      <c r="D115" s="202" t="inlineStr">
        <is>
          <t>Lacado</t>
        </is>
      </c>
      <c r="E115" s="202" t="inlineStr">
        <is>
          <t>Blanco</t>
        </is>
      </c>
      <c r="F115" s="202" t="inlineStr">
        <is>
          <t>Lacado blanco mueble montado</t>
        </is>
      </c>
      <c r="G115" s="204" t="n"/>
      <c r="H115" s="204" t="n"/>
      <c r="I115" s="204" t="n"/>
      <c r="J115" s="205" t="n">
        <v>40.7</v>
      </c>
      <c r="K115" s="205" t="n">
        <v>40.7</v>
      </c>
      <c r="L115" s="202" t="inlineStr">
        <is>
          <t>€/m2</t>
        </is>
      </c>
      <c r="M115" s="202" t="inlineStr">
        <is>
          <t>Gopecosa</t>
        </is>
      </c>
      <c r="N115" s="202" t="inlineStr">
        <is>
          <t>Gopecosa</t>
        </is>
      </c>
      <c r="O115" s="205" t="n"/>
      <c r="P115" s="205" t="n"/>
      <c r="Q115" s="202" t="n"/>
      <c r="R115" s="205" t="n"/>
      <c r="S115" s="205" t="n"/>
      <c r="T115" s="202" t="n"/>
      <c r="U115" s="205" t="n"/>
      <c r="V115" s="205" t="n"/>
      <c r="W115" s="202" t="n"/>
      <c r="X115" s="202" t="n"/>
    </row>
    <row r="116">
      <c r="A116" s="202" t="inlineStr">
        <is>
          <t>COMPARATIVA</t>
        </is>
      </c>
      <c r="B116" s="204" t="n">
        <v>128</v>
      </c>
      <c r="C116" s="202" t="inlineStr">
        <is>
          <t>lacado_color_lacado_color_mueble_montado</t>
        </is>
      </c>
      <c r="D116" s="202" t="inlineStr">
        <is>
          <t>Lacado</t>
        </is>
      </c>
      <c r="E116" s="202" t="inlineStr">
        <is>
          <t>Color</t>
        </is>
      </c>
      <c r="F116" s="202" t="inlineStr">
        <is>
          <t>Lacado Color mueble montado</t>
        </is>
      </c>
      <c r="G116" s="204" t="n"/>
      <c r="H116" s="204" t="n"/>
      <c r="I116" s="204" t="n"/>
      <c r="J116" s="205" t="n">
        <v>44.7</v>
      </c>
      <c r="K116" s="205" t="n">
        <v>44.7</v>
      </c>
      <c r="L116" s="202" t="inlineStr">
        <is>
          <t>€/m2</t>
        </is>
      </c>
      <c r="M116" s="202" t="inlineStr">
        <is>
          <t>Gopecosa</t>
        </is>
      </c>
      <c r="N116" s="202" t="inlineStr">
        <is>
          <t>Gopecosa</t>
        </is>
      </c>
      <c r="O116" s="205" t="n"/>
      <c r="P116" s="205" t="n"/>
      <c r="Q116" s="202" t="n"/>
      <c r="R116" s="205" t="n"/>
      <c r="S116" s="205" t="n"/>
      <c r="T116" s="202" t="n"/>
      <c r="U116" s="205" t="n"/>
      <c r="V116" s="205" t="n"/>
      <c r="W116" s="202" t="n"/>
      <c r="X116" s="202" t="n"/>
    </row>
  </sheetData>
  <mergeCells count="1">
    <mergeCell ref="A1:X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style="192" min="1" max="1"/>
    <col width="24" customWidth="1" style="192" min="2" max="2"/>
    <col width="24" customWidth="1" style="192" min="3" max="3"/>
    <col width="24" customWidth="1" style="192" min="4" max="4"/>
    <col width="24" customWidth="1" style="192" min="5" max="5"/>
    <col width="24" customWidth="1" style="192" min="6" max="6"/>
    <col width="24" customWidth="1" style="192" min="7" max="7"/>
  </cols>
  <sheetData>
    <row r="1">
      <c r="A1" s="206" t="inlineStr">
        <is>
          <t>CALCULADORA NORMALIZADA</t>
        </is>
      </c>
    </row>
    <row r="2">
      <c r="A2" s="201" t="inlineStr">
        <is>
          <t>block</t>
        </is>
      </c>
      <c r="B2" s="201" t="inlineStr">
        <is>
          <t>source_row</t>
        </is>
      </c>
      <c r="C2" s="201" t="inlineStr">
        <is>
          <t>col_a</t>
        </is>
      </c>
      <c r="D2" s="201" t="inlineStr">
        <is>
          <t>col_b</t>
        </is>
      </c>
      <c r="E2" s="201" t="inlineStr">
        <is>
          <t>col_c</t>
        </is>
      </c>
      <c r="F2" s="201" t="inlineStr">
        <is>
          <t>col_d</t>
        </is>
      </c>
      <c r="G2" s="201" t="inlineStr">
        <is>
          <t>col_e</t>
        </is>
      </c>
    </row>
    <row r="3">
      <c r="A3" t="inlineStr">
        <is>
          <t>CALCULAR €/m2 DE TABLERO</t>
        </is>
      </c>
      <c r="B3" s="207" t="n">
        <v>2</v>
      </c>
      <c r="C3" s="202" t="inlineStr">
        <is>
          <t>Largo m</t>
        </is>
      </c>
      <c r="D3" s="202" t="inlineStr">
        <is>
          <t>Ancho m</t>
        </is>
      </c>
      <c r="E3" s="202" t="inlineStr">
        <is>
          <t>m2</t>
        </is>
      </c>
      <c r="F3" s="202" t="inlineStr">
        <is>
          <t>€ Tablero</t>
        </is>
      </c>
      <c r="G3" s="202" t="inlineStr">
        <is>
          <t>€/m2</t>
        </is>
      </c>
    </row>
    <row r="4">
      <c r="A4" t="inlineStr">
        <is>
          <t>CALCULAR €/m2 DE TABLERO</t>
        </is>
      </c>
      <c r="B4" s="207" t="n">
        <v>3</v>
      </c>
      <c r="C4" s="202" t="n">
        <v>2.8</v>
      </c>
      <c r="D4" s="202" t="n">
        <v>2.07</v>
      </c>
      <c r="E4" s="202" t="n">
        <v>5.795999999999999</v>
      </c>
      <c r="F4" s="202" t="n">
        <v>106.2</v>
      </c>
      <c r="G4" s="202" t="n">
        <v>18.32298136645963</v>
      </c>
    </row>
    <row r="5">
      <c r="A5" t="inlineStr">
        <is>
          <t>CALCULAR €/m2 DE CORTE</t>
        </is>
      </c>
      <c r="B5" s="207" t="n">
        <v>6</v>
      </c>
      <c r="C5" s="202" t="inlineStr">
        <is>
          <t>Tableros</t>
        </is>
      </c>
      <c r="D5" s="202" t="inlineStr">
        <is>
          <t>Largo m</t>
        </is>
      </c>
      <c r="E5" s="202" t="inlineStr">
        <is>
          <t>Ancho m</t>
        </is>
      </c>
      <c r="F5" s="202" t="inlineStr">
        <is>
          <t xml:space="preserve">m2 </t>
        </is>
      </c>
      <c r="G5" s="202" t="inlineStr">
        <is>
          <t>m2 TOT</t>
        </is>
      </c>
    </row>
    <row r="6">
      <c r="A6" t="inlineStr">
        <is>
          <t>CALCULAR €/m2 DE CORTE</t>
        </is>
      </c>
      <c r="B6" s="207" t="n">
        <v>7</v>
      </c>
      <c r="C6" s="202" t="n">
        <v>8</v>
      </c>
      <c r="D6" s="202" t="n">
        <v>2.44</v>
      </c>
      <c r="E6" s="202" t="n">
        <v>1.22</v>
      </c>
      <c r="F6" s="202" t="n">
        <v>2.9768</v>
      </c>
      <c r="G6" s="202" t="n">
        <v>23.8144</v>
      </c>
    </row>
    <row r="7">
      <c r="A7" t="inlineStr">
        <is>
          <t>CALCULAR € TABLERO</t>
        </is>
      </c>
      <c r="B7" s="207" t="n">
        <v>10</v>
      </c>
      <c r="C7" s="202" t="inlineStr">
        <is>
          <t>Largo m</t>
        </is>
      </c>
      <c r="D7" s="202" t="inlineStr">
        <is>
          <t>Ancho m</t>
        </is>
      </c>
      <c r="E7" s="202" t="inlineStr">
        <is>
          <t>m2</t>
        </is>
      </c>
      <c r="F7" s="202" t="inlineStr">
        <is>
          <t>€ Tablero</t>
        </is>
      </c>
      <c r="G7" s="202" t="inlineStr">
        <is>
          <t>€/m2</t>
        </is>
      </c>
    </row>
    <row r="8">
      <c r="A8" t="inlineStr">
        <is>
          <t>CALCULAR € TABLERO</t>
        </is>
      </c>
      <c r="B8" s="207" t="n">
        <v>11</v>
      </c>
      <c r="C8" s="202" t="n">
        <v>2.8</v>
      </c>
      <c r="D8" s="202" t="n">
        <v>2.07</v>
      </c>
      <c r="E8" s="202" t="n">
        <v>5.795999999999999</v>
      </c>
      <c r="F8" s="202" t="n">
        <v>29.38572</v>
      </c>
      <c r="G8" s="202" t="n">
        <v>5.07</v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 Infante</dc:creator>
  <dcterms:created xmlns:dcterms="http://purl.org/dc/terms/" xmlns:xsi="http://www.w3.org/2001/XMLSchema-instance" xsi:type="dcterms:W3CDTF">2025-10-10T08:58:38Z</dcterms:created>
  <dcterms:modified xmlns:dcterms="http://purl.org/dc/terms/" xmlns:xsi="http://www.w3.org/2001/XMLSchema-instance" xsi:type="dcterms:W3CDTF">2026-04-10T00:19:33Z</dcterms:modified>
  <cp:lastModifiedBy>Alex Infante</cp:lastModifiedBy>
</cp:coreProperties>
</file>